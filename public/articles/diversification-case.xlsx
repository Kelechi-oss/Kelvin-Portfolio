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60c4c210a7f0c2/Documents/"/>
    </mc:Choice>
  </mc:AlternateContent>
  <xr:revisionPtr revIDLastSave="3" documentId="13_ncr:1_{E8661CF7-E51E-4BD0-B112-6C8D1C45A1EC}" xr6:coauthVersionLast="47" xr6:coauthVersionMax="47" xr10:uidLastSave="{72FEE169-F1C9-4A21-BA4D-514371951CCC}"/>
  <bookViews>
    <workbookView xWindow="-110" yWindow="-110" windowWidth="19420" windowHeight="10300" firstSheet="1" activeTab="3" xr2:uid="{B66E29DB-9379-4E88-BC35-F5821EE98778}"/>
  </bookViews>
  <sheets>
    <sheet name="RAW DATA" sheetId="1" r:id="rId1"/>
    <sheet name=" MONTHLY RETURN" sheetId="14" r:id="rId2"/>
    <sheet name="EXCESS RETURN" sheetId="15" r:id="rId3"/>
    <sheet name="STATISTIC" sheetId="16" r:id="rId4"/>
    <sheet name="PLOTS" sheetId="25" r:id="rId5"/>
    <sheet name="CAPM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6" l="1"/>
  <c r="H7" i="16"/>
  <c r="H9" i="16"/>
  <c r="B7" i="14"/>
  <c r="C7" i="14"/>
  <c r="D7" i="14"/>
  <c r="E7" i="14"/>
  <c r="F7" i="14"/>
  <c r="G7" i="14"/>
  <c r="H7" i="14"/>
  <c r="I7" i="14"/>
  <c r="J7" i="14"/>
  <c r="K7" i="14"/>
  <c r="L7" i="14"/>
  <c r="B8" i="14"/>
  <c r="B7" i="15" s="1"/>
  <c r="C8" i="14"/>
  <c r="C3" i="16" s="1"/>
  <c r="D8" i="14"/>
  <c r="E8" i="14"/>
  <c r="E7" i="15" s="1"/>
  <c r="F8" i="14"/>
  <c r="G8" i="14"/>
  <c r="H8" i="14"/>
  <c r="I8" i="14"/>
  <c r="J8" i="14"/>
  <c r="K8" i="14"/>
  <c r="L8" i="14"/>
  <c r="B9" i="14"/>
  <c r="B8" i="15" s="1"/>
  <c r="C9" i="14"/>
  <c r="D9" i="14"/>
  <c r="E9" i="14"/>
  <c r="F9" i="14"/>
  <c r="G9" i="14"/>
  <c r="H9" i="14"/>
  <c r="I9" i="14"/>
  <c r="J9" i="14"/>
  <c r="K9" i="14"/>
  <c r="L9" i="14"/>
  <c r="B10" i="14"/>
  <c r="C10" i="14"/>
  <c r="D10" i="14"/>
  <c r="E10" i="14"/>
  <c r="F10" i="14"/>
  <c r="F9" i="15" s="1"/>
  <c r="G10" i="14"/>
  <c r="G9" i="15" s="1"/>
  <c r="H10" i="14"/>
  <c r="I10" i="14"/>
  <c r="J10" i="14"/>
  <c r="K10" i="14"/>
  <c r="L10" i="14"/>
  <c r="B11" i="14"/>
  <c r="C11" i="14"/>
  <c r="D11" i="14"/>
  <c r="E11" i="14"/>
  <c r="F11" i="14"/>
  <c r="G11" i="14"/>
  <c r="H11" i="14"/>
  <c r="I11" i="14"/>
  <c r="J11" i="14"/>
  <c r="K11" i="14"/>
  <c r="L11" i="14"/>
  <c r="B12" i="14"/>
  <c r="B11" i="15" s="1"/>
  <c r="C12" i="14"/>
  <c r="D12" i="14"/>
  <c r="E12" i="14"/>
  <c r="F12" i="14"/>
  <c r="G12" i="14"/>
  <c r="G11" i="15" s="1"/>
  <c r="H12" i="14"/>
  <c r="H11" i="15" s="1"/>
  <c r="I12" i="14"/>
  <c r="J12" i="14"/>
  <c r="K12" i="14"/>
  <c r="L12" i="14"/>
  <c r="B13" i="14"/>
  <c r="C13" i="14"/>
  <c r="D13" i="14"/>
  <c r="E13" i="14"/>
  <c r="F13" i="14"/>
  <c r="G13" i="14"/>
  <c r="H13" i="14"/>
  <c r="I13" i="14"/>
  <c r="J13" i="14"/>
  <c r="K13" i="14"/>
  <c r="L13" i="14"/>
  <c r="B14" i="14"/>
  <c r="C14" i="14"/>
  <c r="D14" i="14"/>
  <c r="E14" i="14"/>
  <c r="F14" i="14"/>
  <c r="G14" i="14"/>
  <c r="H14" i="14"/>
  <c r="H13" i="15" s="1"/>
  <c r="I14" i="14"/>
  <c r="J14" i="14"/>
  <c r="K14" i="14"/>
  <c r="K13" i="15" s="1"/>
  <c r="L14" i="14"/>
  <c r="L13" i="15" s="1"/>
  <c r="B15" i="14"/>
  <c r="C15" i="14"/>
  <c r="D15" i="14"/>
  <c r="E15" i="14"/>
  <c r="F15" i="14"/>
  <c r="G15" i="14"/>
  <c r="G14" i="15" s="1"/>
  <c r="H15" i="14"/>
  <c r="H14" i="15" s="1"/>
  <c r="I15" i="14"/>
  <c r="I14" i="15" s="1"/>
  <c r="J15" i="14"/>
  <c r="K15" i="14"/>
  <c r="L15" i="14"/>
  <c r="B16" i="14"/>
  <c r="C16" i="14"/>
  <c r="D16" i="14"/>
  <c r="E16" i="14"/>
  <c r="F16" i="14"/>
  <c r="G16" i="14"/>
  <c r="H16" i="14"/>
  <c r="I16" i="14"/>
  <c r="J16" i="14"/>
  <c r="K16" i="14"/>
  <c r="L16" i="14"/>
  <c r="B17" i="14"/>
  <c r="C17" i="14"/>
  <c r="D17" i="14"/>
  <c r="E17" i="14"/>
  <c r="F17" i="14"/>
  <c r="G17" i="14"/>
  <c r="H17" i="14"/>
  <c r="I17" i="14"/>
  <c r="J17" i="14"/>
  <c r="K17" i="14"/>
  <c r="L17" i="14"/>
  <c r="B18" i="14"/>
  <c r="C18" i="14"/>
  <c r="D18" i="14"/>
  <c r="E18" i="14"/>
  <c r="F18" i="14"/>
  <c r="F17" i="15" s="1"/>
  <c r="G18" i="14"/>
  <c r="G17" i="15" s="1"/>
  <c r="H18" i="14"/>
  <c r="I18" i="14"/>
  <c r="J18" i="14"/>
  <c r="K18" i="14"/>
  <c r="L18" i="14"/>
  <c r="L17" i="15" s="1"/>
  <c r="B19" i="14"/>
  <c r="B18" i="15" s="1"/>
  <c r="C19" i="14"/>
  <c r="D19" i="14"/>
  <c r="E19" i="14"/>
  <c r="F19" i="14"/>
  <c r="G19" i="14"/>
  <c r="H19" i="14"/>
  <c r="I19" i="14"/>
  <c r="J19" i="14"/>
  <c r="K19" i="14"/>
  <c r="L19" i="14"/>
  <c r="B20" i="14"/>
  <c r="B19" i="15" s="1"/>
  <c r="C20" i="14"/>
  <c r="D20" i="14"/>
  <c r="E20" i="14"/>
  <c r="F20" i="14"/>
  <c r="G20" i="14"/>
  <c r="H20" i="14"/>
  <c r="I20" i="14"/>
  <c r="J20" i="14"/>
  <c r="K20" i="14"/>
  <c r="L20" i="14"/>
  <c r="B21" i="14"/>
  <c r="C21" i="14"/>
  <c r="D21" i="14"/>
  <c r="E21" i="14"/>
  <c r="F21" i="14"/>
  <c r="G21" i="14"/>
  <c r="H21" i="14"/>
  <c r="I21" i="14"/>
  <c r="J21" i="14"/>
  <c r="K21" i="14"/>
  <c r="L21" i="14"/>
  <c r="B22" i="14"/>
  <c r="B21" i="15" s="1"/>
  <c r="C22" i="14"/>
  <c r="D22" i="14"/>
  <c r="E22" i="14"/>
  <c r="F22" i="14"/>
  <c r="G22" i="14"/>
  <c r="H22" i="14"/>
  <c r="I22" i="14"/>
  <c r="J22" i="14"/>
  <c r="K22" i="14"/>
  <c r="K21" i="15" s="1"/>
  <c r="L22" i="14"/>
  <c r="L21" i="15" s="1"/>
  <c r="B23" i="14"/>
  <c r="C23" i="14"/>
  <c r="D23" i="14"/>
  <c r="E23" i="14"/>
  <c r="F23" i="14"/>
  <c r="G23" i="14"/>
  <c r="G22" i="15" s="1"/>
  <c r="H23" i="14"/>
  <c r="H22" i="15" s="1"/>
  <c r="I23" i="14"/>
  <c r="I22" i="15" s="1"/>
  <c r="J23" i="14"/>
  <c r="K23" i="14"/>
  <c r="L23" i="14"/>
  <c r="B24" i="14"/>
  <c r="C24" i="14"/>
  <c r="D24" i="14"/>
  <c r="E24" i="14"/>
  <c r="E23" i="15" s="1"/>
  <c r="F24" i="14"/>
  <c r="F23" i="15" s="1"/>
  <c r="G24" i="14"/>
  <c r="H24" i="14"/>
  <c r="I24" i="14"/>
  <c r="J24" i="14"/>
  <c r="K24" i="14"/>
  <c r="L24" i="14"/>
  <c r="B25" i="14"/>
  <c r="B24" i="15" s="1"/>
  <c r="C25" i="14"/>
  <c r="D25" i="14"/>
  <c r="E25" i="14"/>
  <c r="F25" i="14"/>
  <c r="G25" i="14"/>
  <c r="H25" i="14"/>
  <c r="I25" i="14"/>
  <c r="J25" i="14"/>
  <c r="K25" i="14"/>
  <c r="K24" i="15" s="1"/>
  <c r="L25" i="14"/>
  <c r="B26" i="14"/>
  <c r="C26" i="14"/>
  <c r="D26" i="14"/>
  <c r="E26" i="14"/>
  <c r="F26" i="14"/>
  <c r="G26" i="14"/>
  <c r="G25" i="15" s="1"/>
  <c r="H26" i="14"/>
  <c r="I26" i="14"/>
  <c r="J26" i="14"/>
  <c r="K26" i="14"/>
  <c r="L26" i="14"/>
  <c r="B27" i="14"/>
  <c r="B26" i="15" s="1"/>
  <c r="C27" i="14"/>
  <c r="D27" i="14"/>
  <c r="E27" i="14"/>
  <c r="F27" i="14"/>
  <c r="G27" i="14"/>
  <c r="H27" i="14"/>
  <c r="I27" i="14"/>
  <c r="J27" i="14"/>
  <c r="K27" i="14"/>
  <c r="L27" i="14"/>
  <c r="B28" i="14"/>
  <c r="B27" i="15" s="1"/>
  <c r="C28" i="14"/>
  <c r="D28" i="14"/>
  <c r="E28" i="14"/>
  <c r="F28" i="14"/>
  <c r="G28" i="14"/>
  <c r="H28" i="14"/>
  <c r="I28" i="14"/>
  <c r="J28" i="14"/>
  <c r="K28" i="14"/>
  <c r="L28" i="14"/>
  <c r="B29" i="14"/>
  <c r="C29" i="14"/>
  <c r="D29" i="14"/>
  <c r="E29" i="14"/>
  <c r="F29" i="14"/>
  <c r="G29" i="14"/>
  <c r="H29" i="14"/>
  <c r="I29" i="14"/>
  <c r="J29" i="14"/>
  <c r="K29" i="14"/>
  <c r="L29" i="14"/>
  <c r="B30" i="14"/>
  <c r="B29" i="15" s="1"/>
  <c r="C30" i="14"/>
  <c r="D30" i="14"/>
  <c r="E30" i="14"/>
  <c r="F30" i="14"/>
  <c r="G30" i="14"/>
  <c r="H30" i="14"/>
  <c r="I30" i="14"/>
  <c r="I29" i="15" s="1"/>
  <c r="J30" i="14"/>
  <c r="K30" i="14"/>
  <c r="L30" i="14"/>
  <c r="B31" i="14"/>
  <c r="C31" i="14"/>
  <c r="D31" i="14"/>
  <c r="E31" i="14"/>
  <c r="E30" i="15" s="1"/>
  <c r="F31" i="14"/>
  <c r="F30" i="15" s="1"/>
  <c r="G31" i="14"/>
  <c r="G30" i="15" s="1"/>
  <c r="H31" i="14"/>
  <c r="I31" i="14"/>
  <c r="I30" i="15" s="1"/>
  <c r="J31" i="14"/>
  <c r="K31" i="14"/>
  <c r="L31" i="14"/>
  <c r="B32" i="14"/>
  <c r="C32" i="14"/>
  <c r="C31" i="15" s="1"/>
  <c r="D32" i="14"/>
  <c r="E32" i="14"/>
  <c r="F32" i="14"/>
  <c r="G32" i="14"/>
  <c r="H32" i="14"/>
  <c r="I32" i="14"/>
  <c r="J32" i="14"/>
  <c r="J31" i="15" s="1"/>
  <c r="K32" i="14"/>
  <c r="K31" i="15" s="1"/>
  <c r="L32" i="14"/>
  <c r="B33" i="14"/>
  <c r="B32" i="15" s="1"/>
  <c r="C33" i="14"/>
  <c r="D33" i="14"/>
  <c r="E33" i="14"/>
  <c r="F33" i="14"/>
  <c r="G33" i="14"/>
  <c r="H33" i="14"/>
  <c r="H32" i="15" s="1"/>
  <c r="I33" i="14"/>
  <c r="J33" i="14"/>
  <c r="K33" i="14"/>
  <c r="L33" i="14"/>
  <c r="B34" i="14"/>
  <c r="C34" i="14"/>
  <c r="D34" i="14"/>
  <c r="E34" i="14"/>
  <c r="F34" i="14"/>
  <c r="F33" i="15" s="1"/>
  <c r="G34" i="14"/>
  <c r="H34" i="14"/>
  <c r="I34" i="14"/>
  <c r="J34" i="14"/>
  <c r="K34" i="14"/>
  <c r="L34" i="14"/>
  <c r="B35" i="14"/>
  <c r="C35" i="14"/>
  <c r="D35" i="14"/>
  <c r="E35" i="14"/>
  <c r="F35" i="14"/>
  <c r="G35" i="14"/>
  <c r="H35" i="14"/>
  <c r="I35" i="14"/>
  <c r="J35" i="14"/>
  <c r="K35" i="14"/>
  <c r="L35" i="14"/>
  <c r="B36" i="14"/>
  <c r="B35" i="15" s="1"/>
  <c r="C36" i="14"/>
  <c r="D36" i="14"/>
  <c r="E36" i="14"/>
  <c r="F36" i="14"/>
  <c r="G36" i="14"/>
  <c r="H36" i="14"/>
  <c r="I36" i="14"/>
  <c r="J36" i="14"/>
  <c r="K36" i="14"/>
  <c r="L36" i="14"/>
  <c r="B37" i="14"/>
  <c r="C37" i="14"/>
  <c r="D37" i="14"/>
  <c r="E37" i="14"/>
  <c r="F37" i="14"/>
  <c r="G37" i="14"/>
  <c r="H37" i="14"/>
  <c r="I37" i="14"/>
  <c r="J37" i="14"/>
  <c r="K37" i="14"/>
  <c r="L37" i="14"/>
  <c r="B38" i="14"/>
  <c r="C38" i="14"/>
  <c r="D38" i="14"/>
  <c r="D37" i="15" s="1"/>
  <c r="E38" i="14"/>
  <c r="F38" i="14"/>
  <c r="G38" i="14"/>
  <c r="H38" i="14"/>
  <c r="H37" i="15" s="1"/>
  <c r="I38" i="14"/>
  <c r="J38" i="14"/>
  <c r="J37" i="15" s="1"/>
  <c r="K38" i="14"/>
  <c r="K37" i="15" s="1"/>
  <c r="L38" i="14"/>
  <c r="B39" i="14"/>
  <c r="C39" i="14"/>
  <c r="D39" i="14"/>
  <c r="E39" i="14"/>
  <c r="F39" i="14"/>
  <c r="G39" i="14"/>
  <c r="H39" i="14"/>
  <c r="H38" i="15" s="1"/>
  <c r="I39" i="14"/>
  <c r="J39" i="14"/>
  <c r="K39" i="14"/>
  <c r="L39" i="14"/>
  <c r="B40" i="14"/>
  <c r="C40" i="14"/>
  <c r="D40" i="14"/>
  <c r="D39" i="15" s="1"/>
  <c r="E40" i="14"/>
  <c r="F40" i="14"/>
  <c r="G40" i="14"/>
  <c r="H40" i="14"/>
  <c r="I40" i="14"/>
  <c r="J40" i="14"/>
  <c r="K40" i="14"/>
  <c r="L40" i="14"/>
  <c r="L39" i="15" s="1"/>
  <c r="B41" i="14"/>
  <c r="B40" i="15" s="1"/>
  <c r="C41" i="14"/>
  <c r="D41" i="14"/>
  <c r="E41" i="14"/>
  <c r="F41" i="14"/>
  <c r="G41" i="14"/>
  <c r="H41" i="14"/>
  <c r="I41" i="14"/>
  <c r="J41" i="14"/>
  <c r="K41" i="14"/>
  <c r="L41" i="14"/>
  <c r="B42" i="14"/>
  <c r="B41" i="15" s="1"/>
  <c r="C42" i="14"/>
  <c r="D42" i="14"/>
  <c r="E42" i="14"/>
  <c r="E41" i="15" s="1"/>
  <c r="F42" i="14"/>
  <c r="F41" i="15" s="1"/>
  <c r="G42" i="14"/>
  <c r="G41" i="15" s="1"/>
  <c r="H42" i="14"/>
  <c r="H41" i="15" s="1"/>
  <c r="I42" i="14"/>
  <c r="J42" i="14"/>
  <c r="K42" i="14"/>
  <c r="L42" i="14"/>
  <c r="B43" i="14"/>
  <c r="B42" i="15" s="1"/>
  <c r="C43" i="14"/>
  <c r="D43" i="14"/>
  <c r="E43" i="14"/>
  <c r="E42" i="15" s="1"/>
  <c r="F43" i="14"/>
  <c r="G43" i="14"/>
  <c r="H43" i="14"/>
  <c r="I43" i="14"/>
  <c r="I42" i="15" s="1"/>
  <c r="J43" i="14"/>
  <c r="K43" i="14"/>
  <c r="L43" i="14"/>
  <c r="B44" i="14"/>
  <c r="B43" i="15" s="1"/>
  <c r="C44" i="14"/>
  <c r="D44" i="14"/>
  <c r="E44" i="14"/>
  <c r="F44" i="14"/>
  <c r="G44" i="14"/>
  <c r="H44" i="14"/>
  <c r="I44" i="14"/>
  <c r="J44" i="14"/>
  <c r="K44" i="14"/>
  <c r="L44" i="14"/>
  <c r="B45" i="14"/>
  <c r="C45" i="14"/>
  <c r="D45" i="14"/>
  <c r="E45" i="14"/>
  <c r="F45" i="14"/>
  <c r="G45" i="14"/>
  <c r="H45" i="14"/>
  <c r="I45" i="14"/>
  <c r="J45" i="14"/>
  <c r="K45" i="14"/>
  <c r="L45" i="14"/>
  <c r="B46" i="14"/>
  <c r="B45" i="15" s="1"/>
  <c r="C46" i="14"/>
  <c r="D46" i="14"/>
  <c r="D45" i="15" s="1"/>
  <c r="E46" i="14"/>
  <c r="F46" i="14"/>
  <c r="G46" i="14"/>
  <c r="H46" i="14"/>
  <c r="H45" i="15" s="1"/>
  <c r="I46" i="14"/>
  <c r="J46" i="14"/>
  <c r="J45" i="15" s="1"/>
  <c r="K46" i="14"/>
  <c r="L46" i="14"/>
  <c r="B47" i="14"/>
  <c r="C47" i="14"/>
  <c r="D47" i="14"/>
  <c r="E47" i="14"/>
  <c r="F47" i="14"/>
  <c r="G47" i="14"/>
  <c r="G46" i="15" s="1"/>
  <c r="H47" i="14"/>
  <c r="H46" i="15" s="1"/>
  <c r="I47" i="14"/>
  <c r="J47" i="14"/>
  <c r="K47" i="14"/>
  <c r="L47" i="14"/>
  <c r="B48" i="14"/>
  <c r="C48" i="14"/>
  <c r="C47" i="15" s="1"/>
  <c r="D48" i="14"/>
  <c r="D47" i="15" s="1"/>
  <c r="E48" i="14"/>
  <c r="F48" i="14"/>
  <c r="G48" i="14"/>
  <c r="H48" i="14"/>
  <c r="I48" i="14"/>
  <c r="J48" i="14"/>
  <c r="K48" i="14"/>
  <c r="L48" i="14"/>
  <c r="B49" i="14"/>
  <c r="B48" i="15" s="1"/>
  <c r="C49" i="14"/>
  <c r="D49" i="14"/>
  <c r="E49" i="14"/>
  <c r="F49" i="14"/>
  <c r="G49" i="14"/>
  <c r="H49" i="14"/>
  <c r="I49" i="14"/>
  <c r="J49" i="14"/>
  <c r="K49" i="14"/>
  <c r="L49" i="14"/>
  <c r="B50" i="14"/>
  <c r="C50" i="14"/>
  <c r="D50" i="14"/>
  <c r="E50" i="14"/>
  <c r="E49" i="15" s="1"/>
  <c r="F50" i="14"/>
  <c r="F49" i="15" s="1"/>
  <c r="G50" i="14"/>
  <c r="G49" i="15" s="1"/>
  <c r="H50" i="14"/>
  <c r="I50" i="14"/>
  <c r="J50" i="14"/>
  <c r="K50" i="14"/>
  <c r="L50" i="14"/>
  <c r="B51" i="14"/>
  <c r="C51" i="14"/>
  <c r="C50" i="15" s="1"/>
  <c r="D51" i="14"/>
  <c r="D50" i="15" s="1"/>
  <c r="E51" i="14"/>
  <c r="E50" i="15" s="1"/>
  <c r="F51" i="14"/>
  <c r="G51" i="14"/>
  <c r="H51" i="14"/>
  <c r="I51" i="14"/>
  <c r="I50" i="15" s="1"/>
  <c r="J51" i="14"/>
  <c r="J50" i="15" s="1"/>
  <c r="K51" i="14"/>
  <c r="L51" i="14"/>
  <c r="L50" i="15" s="1"/>
  <c r="B52" i="14"/>
  <c r="B51" i="15" s="1"/>
  <c r="C52" i="14"/>
  <c r="D52" i="14"/>
  <c r="E52" i="14"/>
  <c r="F52" i="14"/>
  <c r="G52" i="14"/>
  <c r="H52" i="14"/>
  <c r="I52" i="14"/>
  <c r="J52" i="14"/>
  <c r="K52" i="14"/>
  <c r="L52" i="14"/>
  <c r="B53" i="14"/>
  <c r="C53" i="14"/>
  <c r="D53" i="14"/>
  <c r="E53" i="14"/>
  <c r="F53" i="14"/>
  <c r="G53" i="14"/>
  <c r="H53" i="14"/>
  <c r="I53" i="14"/>
  <c r="J53" i="14"/>
  <c r="K53" i="14"/>
  <c r="L53" i="14"/>
  <c r="B54" i="14"/>
  <c r="C54" i="14"/>
  <c r="D54" i="14"/>
  <c r="E54" i="14"/>
  <c r="F54" i="14"/>
  <c r="G54" i="14"/>
  <c r="H54" i="14"/>
  <c r="I54" i="14"/>
  <c r="J54" i="14"/>
  <c r="J53" i="15" s="1"/>
  <c r="K54" i="14"/>
  <c r="K53" i="15" s="1"/>
  <c r="L54" i="14"/>
  <c r="L53" i="15" s="1"/>
  <c r="B55" i="14"/>
  <c r="C55" i="14"/>
  <c r="D55" i="14"/>
  <c r="E55" i="14"/>
  <c r="F55" i="14"/>
  <c r="G55" i="14"/>
  <c r="H55" i="14"/>
  <c r="I55" i="14"/>
  <c r="I54" i="15" s="1"/>
  <c r="J55" i="14"/>
  <c r="K55" i="14"/>
  <c r="L55" i="14"/>
  <c r="B56" i="14"/>
  <c r="B55" i="15" s="1"/>
  <c r="C56" i="14"/>
  <c r="D56" i="14"/>
  <c r="E56" i="14"/>
  <c r="E55" i="15" s="1"/>
  <c r="F56" i="14"/>
  <c r="F55" i="15" s="1"/>
  <c r="G56" i="14"/>
  <c r="H56" i="14"/>
  <c r="I56" i="14"/>
  <c r="J56" i="14"/>
  <c r="K56" i="14"/>
  <c r="L56" i="14"/>
  <c r="B57" i="14"/>
  <c r="C57" i="14"/>
  <c r="D57" i="14"/>
  <c r="E57" i="14"/>
  <c r="F57" i="14"/>
  <c r="G57" i="14"/>
  <c r="H57" i="14"/>
  <c r="I57" i="14"/>
  <c r="J57" i="14"/>
  <c r="K57" i="14"/>
  <c r="L57" i="14"/>
  <c r="B58" i="14"/>
  <c r="B57" i="15" s="1"/>
  <c r="C58" i="14"/>
  <c r="D58" i="14"/>
  <c r="E58" i="14"/>
  <c r="E57" i="15" s="1"/>
  <c r="F58" i="14"/>
  <c r="F57" i="15" s="1"/>
  <c r="G58" i="14"/>
  <c r="G57" i="15" s="1"/>
  <c r="H58" i="14"/>
  <c r="I58" i="14"/>
  <c r="J58" i="14"/>
  <c r="K58" i="14"/>
  <c r="L58" i="14"/>
  <c r="B59" i="14"/>
  <c r="C59" i="14"/>
  <c r="D59" i="14"/>
  <c r="D58" i="15" s="1"/>
  <c r="E59" i="14"/>
  <c r="F59" i="14"/>
  <c r="G59" i="14"/>
  <c r="H59" i="14"/>
  <c r="I59" i="14"/>
  <c r="J59" i="14"/>
  <c r="K59" i="14"/>
  <c r="L59" i="14"/>
  <c r="B60" i="14"/>
  <c r="B59" i="15" s="1"/>
  <c r="C60" i="14"/>
  <c r="D60" i="14"/>
  <c r="E60" i="14"/>
  <c r="F60" i="14"/>
  <c r="G60" i="14"/>
  <c r="G59" i="15" s="1"/>
  <c r="H60" i="14"/>
  <c r="I60" i="14"/>
  <c r="I59" i="15" s="1"/>
  <c r="J60" i="14"/>
  <c r="K60" i="14"/>
  <c r="L60" i="14"/>
  <c r="B61" i="14"/>
  <c r="C61" i="14"/>
  <c r="D61" i="14"/>
  <c r="E61" i="14"/>
  <c r="F61" i="14"/>
  <c r="G61" i="14"/>
  <c r="H61" i="14"/>
  <c r="I61" i="14"/>
  <c r="J61" i="14"/>
  <c r="K61" i="14"/>
  <c r="L61" i="14"/>
  <c r="B62" i="14"/>
  <c r="B61" i="15" s="1"/>
  <c r="C62" i="14"/>
  <c r="D62" i="14"/>
  <c r="E62" i="14"/>
  <c r="F62" i="14"/>
  <c r="G62" i="14"/>
  <c r="H62" i="14"/>
  <c r="I62" i="14"/>
  <c r="I61" i="15" s="1"/>
  <c r="J62" i="14"/>
  <c r="J61" i="15" s="1"/>
  <c r="K62" i="14"/>
  <c r="K61" i="15" s="1"/>
  <c r="L62" i="14"/>
  <c r="L61" i="15" s="1"/>
  <c r="B63" i="14"/>
  <c r="C63" i="14"/>
  <c r="D63" i="14"/>
  <c r="E63" i="14"/>
  <c r="F63" i="14"/>
  <c r="G63" i="14"/>
  <c r="H63" i="14"/>
  <c r="I63" i="14"/>
  <c r="J63" i="14"/>
  <c r="K63" i="14"/>
  <c r="L63" i="14"/>
  <c r="B64" i="14"/>
  <c r="C64" i="14"/>
  <c r="D64" i="14"/>
  <c r="E64" i="14"/>
  <c r="F64" i="14"/>
  <c r="G64" i="14"/>
  <c r="H64" i="14"/>
  <c r="I64" i="14"/>
  <c r="J64" i="14"/>
  <c r="K64" i="14"/>
  <c r="K63" i="15" s="1"/>
  <c r="L64" i="14"/>
  <c r="B65" i="14"/>
  <c r="B64" i="15" s="1"/>
  <c r="C65" i="14"/>
  <c r="D65" i="14"/>
  <c r="E65" i="14"/>
  <c r="F65" i="14"/>
  <c r="G65" i="14"/>
  <c r="H65" i="14"/>
  <c r="I65" i="14"/>
  <c r="J65" i="14"/>
  <c r="K65" i="14"/>
  <c r="K64" i="15" s="1"/>
  <c r="L65" i="14"/>
  <c r="C6" i="14"/>
  <c r="M6" i="14" s="1"/>
  <c r="D6" i="14"/>
  <c r="E6" i="14"/>
  <c r="F6" i="14"/>
  <c r="G6" i="14"/>
  <c r="H6" i="14"/>
  <c r="I6" i="14"/>
  <c r="J6" i="14"/>
  <c r="K6" i="14"/>
  <c r="L6" i="14"/>
  <c r="B10" i="15"/>
  <c r="B13" i="15"/>
  <c r="B20" i="15"/>
  <c r="B28" i="15"/>
  <c r="B33" i="15"/>
  <c r="B34" i="15"/>
  <c r="B36" i="15"/>
  <c r="B37" i="15"/>
  <c r="B44" i="15"/>
  <c r="B52" i="15"/>
  <c r="B53" i="15"/>
  <c r="B58" i="15"/>
  <c r="B6" i="14"/>
  <c r="B5" i="15" s="1"/>
  <c r="L7" i="15"/>
  <c r="J8" i="15"/>
  <c r="E9" i="15"/>
  <c r="B16" i="15"/>
  <c r="I21" i="15"/>
  <c r="F22" i="15"/>
  <c r="D29" i="15"/>
  <c r="G35" i="15"/>
  <c r="I38" i="15"/>
  <c r="J42" i="15"/>
  <c r="F46" i="15"/>
  <c r="C53" i="15"/>
  <c r="L54" i="15"/>
  <c r="B56" i="15"/>
  <c r="E58" i="15"/>
  <c r="C63" i="15"/>
  <c r="E63" i="15"/>
  <c r="F63" i="15"/>
  <c r="B9" i="15"/>
  <c r="B12" i="15"/>
  <c r="B31" i="15"/>
  <c r="B50" i="15"/>
  <c r="G6" i="15"/>
  <c r="D7" i="15"/>
  <c r="D9" i="15"/>
  <c r="F13" i="15"/>
  <c r="B15" i="15"/>
  <c r="D17" i="15"/>
  <c r="J17" i="15"/>
  <c r="K17" i="15"/>
  <c r="D25" i="15"/>
  <c r="J25" i="15"/>
  <c r="L25" i="15"/>
  <c r="H29" i="15"/>
  <c r="D33" i="15"/>
  <c r="L33" i="15"/>
  <c r="I34" i="15"/>
  <c r="F38" i="15"/>
  <c r="G38" i="15"/>
  <c r="L38" i="15"/>
  <c r="D43" i="15"/>
  <c r="I45" i="15"/>
  <c r="C46" i="15"/>
  <c r="D46" i="15"/>
  <c r="E46" i="15"/>
  <c r="B47" i="15"/>
  <c r="K47" i="15"/>
  <c r="L47" i="15"/>
  <c r="I48" i="15"/>
  <c r="K49" i="15"/>
  <c r="H53" i="15"/>
  <c r="E54" i="15"/>
  <c r="G54" i="15"/>
  <c r="H54" i="15"/>
  <c r="F61" i="15"/>
  <c r="G61" i="15"/>
  <c r="H61" i="15"/>
  <c r="D62" i="15"/>
  <c r="E62" i="15"/>
  <c r="F62" i="15"/>
  <c r="G62" i="15"/>
  <c r="H62" i="15"/>
  <c r="I62" i="15"/>
  <c r="B49" i="15"/>
  <c r="B6" i="15"/>
  <c r="E6" i="15"/>
  <c r="J22" i="15"/>
  <c r="E25" i="15"/>
  <c r="F25" i="15"/>
  <c r="D30" i="15"/>
  <c r="J30" i="15"/>
  <c r="E37" i="15"/>
  <c r="B38" i="15"/>
  <c r="G39" i="15"/>
  <c r="B46" i="15"/>
  <c r="I58" i="15"/>
  <c r="F5" i="15"/>
  <c r="B17" i="15"/>
  <c r="B25" i="15"/>
  <c r="B39" i="15"/>
  <c r="C6" i="15"/>
  <c r="L9" i="15"/>
  <c r="K14" i="15"/>
  <c r="C30" i="15"/>
  <c r="J33" i="15"/>
  <c r="H39" i="15"/>
  <c r="L49" i="15"/>
  <c r="K54" i="15"/>
  <c r="D57" i="15"/>
  <c r="J63" i="15"/>
  <c r="G5" i="15"/>
  <c r="B60" i="15"/>
  <c r="K38" i="15"/>
  <c r="B63" i="15"/>
  <c r="I49" i="15"/>
  <c r="J49" i="15"/>
  <c r="B54" i="15"/>
  <c r="B62" i="15"/>
  <c r="B14" i="15"/>
  <c r="B22" i="15"/>
  <c r="B23" i="15"/>
  <c r="B30" i="15"/>
  <c r="H15" i="15"/>
  <c r="H21" i="15"/>
  <c r="C16" i="25"/>
  <c r="B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16" i="25"/>
  <c r="C2" i="25"/>
  <c r="B2" i="25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" i="15"/>
  <c r="K6" i="15"/>
  <c r="L6" i="15"/>
  <c r="I9" i="15"/>
  <c r="K9" i="15"/>
  <c r="E13" i="15"/>
  <c r="C14" i="15"/>
  <c r="D14" i="15"/>
  <c r="J14" i="15"/>
  <c r="L14" i="15"/>
  <c r="I15" i="15"/>
  <c r="F16" i="15"/>
  <c r="I17" i="15"/>
  <c r="K19" i="15"/>
  <c r="G21" i="15"/>
  <c r="D22" i="15"/>
  <c r="E22" i="15"/>
  <c r="L22" i="15"/>
  <c r="I25" i="15"/>
  <c r="D27" i="15"/>
  <c r="E29" i="15"/>
  <c r="G29" i="15"/>
  <c r="K30" i="15"/>
  <c r="L30" i="15"/>
  <c r="G31" i="15"/>
  <c r="I33" i="15"/>
  <c r="K33" i="15"/>
  <c r="C38" i="15"/>
  <c r="D38" i="15"/>
  <c r="J38" i="15"/>
  <c r="E40" i="15"/>
  <c r="L40" i="15"/>
  <c r="I41" i="15"/>
  <c r="K41" i="15"/>
  <c r="E45" i="15"/>
  <c r="F45" i="15"/>
  <c r="J46" i="15"/>
  <c r="K46" i="15"/>
  <c r="L46" i="15"/>
  <c r="H47" i="15"/>
  <c r="D49" i="15"/>
  <c r="E53" i="15"/>
  <c r="F53" i="15"/>
  <c r="C54" i="15"/>
  <c r="D54" i="15"/>
  <c r="J54" i="15"/>
  <c r="H55" i="15"/>
  <c r="I55" i="15"/>
  <c r="F56" i="15"/>
  <c r="I57" i="15"/>
  <c r="J57" i="15"/>
  <c r="K57" i="15"/>
  <c r="L57" i="15"/>
  <c r="J62" i="15"/>
  <c r="K62" i="15"/>
  <c r="L62" i="15"/>
  <c r="E5" i="15"/>
  <c r="C5" i="15" l="1"/>
  <c r="C6" i="16"/>
  <c r="C9" i="16"/>
  <c r="C11" i="16"/>
  <c r="E11" i="16" s="1"/>
  <c r="B11" i="25" s="1"/>
  <c r="C4" i="16"/>
  <c r="H64" i="15"/>
  <c r="H56" i="15"/>
  <c r="H48" i="15"/>
  <c r="H40" i="15"/>
  <c r="H16" i="15"/>
  <c r="H63" i="15"/>
  <c r="H31" i="15"/>
  <c r="H23" i="15"/>
  <c r="H7" i="15"/>
  <c r="C5" i="16"/>
  <c r="E5" i="16" s="1"/>
  <c r="B5" i="25" s="1"/>
  <c r="C8" i="16"/>
  <c r="E8" i="16" s="1"/>
  <c r="B8" i="25" s="1"/>
  <c r="H30" i="15"/>
  <c r="F6" i="15"/>
  <c r="C12" i="16"/>
  <c r="E12" i="16" s="1"/>
  <c r="B12" i="25" s="1"/>
  <c r="C7" i="16"/>
  <c r="E7" i="16" s="1"/>
  <c r="B7" i="25" s="1"/>
  <c r="C10" i="16"/>
  <c r="E10" i="16" s="1"/>
  <c r="B10" i="25" s="1"/>
  <c r="C13" i="16"/>
  <c r="E13" i="16" s="1"/>
  <c r="B13" i="25" s="1"/>
  <c r="E4" i="16"/>
  <c r="B4" i="25" s="1"/>
  <c r="H8" i="15"/>
  <c r="B8" i="16"/>
  <c r="D8" i="16" s="1"/>
  <c r="C8" i="25" s="1"/>
  <c r="B5" i="16"/>
  <c r="D5" i="16" s="1"/>
  <c r="C5" i="25" s="1"/>
  <c r="E24" i="15"/>
  <c r="B11" i="16"/>
  <c r="D11" i="16" s="1"/>
  <c r="C11" i="25" s="1"/>
  <c r="G15" i="15"/>
  <c r="H57" i="15"/>
  <c r="H49" i="15"/>
  <c r="H33" i="15"/>
  <c r="H25" i="15"/>
  <c r="H17" i="15"/>
  <c r="H9" i="15"/>
  <c r="L32" i="15"/>
  <c r="D32" i="15"/>
  <c r="G24" i="15"/>
  <c r="E15" i="15"/>
  <c r="F64" i="15"/>
  <c r="I56" i="15"/>
  <c r="G47" i="15"/>
  <c r="C39" i="15"/>
  <c r="I37" i="15"/>
  <c r="K32" i="15"/>
  <c r="F31" i="15"/>
  <c r="L29" i="15"/>
  <c r="F24" i="15"/>
  <c r="I23" i="15"/>
  <c r="F21" i="15"/>
  <c r="I16" i="15"/>
  <c r="L15" i="15"/>
  <c r="D15" i="15"/>
  <c r="J13" i="15"/>
  <c r="E8" i="15"/>
  <c r="H51" i="15"/>
  <c r="L43" i="15"/>
  <c r="B3" i="16"/>
  <c r="D3" i="16" s="1"/>
  <c r="C3" i="25" s="1"/>
  <c r="E64" i="15"/>
  <c r="E61" i="15"/>
  <c r="K55" i="15"/>
  <c r="C55" i="15"/>
  <c r="F54" i="15"/>
  <c r="I53" i="15"/>
  <c r="K48" i="15"/>
  <c r="F47" i="15"/>
  <c r="I46" i="15"/>
  <c r="L45" i="15"/>
  <c r="L41" i="15"/>
  <c r="D41" i="15"/>
  <c r="G40" i="15"/>
  <c r="J39" i="15"/>
  <c r="E38" i="15"/>
  <c r="G37" i="15"/>
  <c r="G33" i="15"/>
  <c r="J32" i="15"/>
  <c r="E31" i="15"/>
  <c r="K29" i="15"/>
  <c r="K25" i="15"/>
  <c r="K22" i="15"/>
  <c r="C22" i="15"/>
  <c r="E21" i="15"/>
  <c r="E17" i="15"/>
  <c r="K15" i="15"/>
  <c r="C15" i="15"/>
  <c r="F14" i="15"/>
  <c r="I13" i="15"/>
  <c r="J9" i="15"/>
  <c r="L8" i="15"/>
  <c r="D8" i="15"/>
  <c r="G7" i="15"/>
  <c r="J6" i="15"/>
  <c r="K50" i="15"/>
  <c r="G42" i="15"/>
  <c r="F18" i="15"/>
  <c r="C10" i="15"/>
  <c r="B13" i="16"/>
  <c r="D13" i="16" s="1"/>
  <c r="C13" i="25" s="1"/>
  <c r="B12" i="16"/>
  <c r="D12" i="16" s="1"/>
  <c r="C12" i="25" s="1"/>
  <c r="G32" i="15"/>
  <c r="I8" i="15"/>
  <c r="G64" i="15"/>
  <c r="J56" i="15"/>
  <c r="E48" i="15"/>
  <c r="I40" i="15"/>
  <c r="J23" i="15"/>
  <c r="J16" i="15"/>
  <c r="F8" i="15"/>
  <c r="I7" i="15"/>
  <c r="I63" i="15"/>
  <c r="L55" i="15"/>
  <c r="D55" i="15"/>
  <c r="L48" i="15"/>
  <c r="D48" i="15"/>
  <c r="K39" i="15"/>
  <c r="L64" i="15"/>
  <c r="D64" i="15"/>
  <c r="G63" i="15"/>
  <c r="D61" i="15"/>
  <c r="G56" i="15"/>
  <c r="J55" i="15"/>
  <c r="G53" i="15"/>
  <c r="J48" i="15"/>
  <c r="E47" i="15"/>
  <c r="K45" i="15"/>
  <c r="F40" i="15"/>
  <c r="I39" i="15"/>
  <c r="F37" i="15"/>
  <c r="I32" i="15"/>
  <c r="L31" i="15"/>
  <c r="D31" i="15"/>
  <c r="J29" i="15"/>
  <c r="L24" i="15"/>
  <c r="D24" i="15"/>
  <c r="G23" i="15"/>
  <c r="D21" i="15"/>
  <c r="G16" i="15"/>
  <c r="J15" i="15"/>
  <c r="E14" i="15"/>
  <c r="G13" i="15"/>
  <c r="K8" i="15"/>
  <c r="F7" i="15"/>
  <c r="I6" i="15"/>
  <c r="E3" i="16"/>
  <c r="B3" i="25" s="1"/>
  <c r="E6" i="16"/>
  <c r="B6" i="25" s="1"/>
  <c r="B9" i="16"/>
  <c r="D9" i="16" s="1"/>
  <c r="C9" i="25" s="1"/>
  <c r="H6" i="15"/>
  <c r="E16" i="15"/>
  <c r="B7" i="16"/>
  <c r="D7" i="16" s="1"/>
  <c r="C7" i="25" s="1"/>
  <c r="L5" i="15"/>
  <c r="I64" i="15"/>
  <c r="L63" i="15"/>
  <c r="D63" i="15"/>
  <c r="L56" i="15"/>
  <c r="D56" i="15"/>
  <c r="G55" i="15"/>
  <c r="D53" i="15"/>
  <c r="G48" i="15"/>
  <c r="J47" i="15"/>
  <c r="G45" i="15"/>
  <c r="K40" i="15"/>
  <c r="F39" i="15"/>
  <c r="L37" i="15"/>
  <c r="F32" i="15"/>
  <c r="I31" i="15"/>
  <c r="F29" i="15"/>
  <c r="I24" i="15"/>
  <c r="L23" i="15"/>
  <c r="D23" i="15"/>
  <c r="J21" i="15"/>
  <c r="L16" i="15"/>
  <c r="D16" i="15"/>
  <c r="D13" i="15"/>
  <c r="K7" i="15"/>
  <c r="M8" i="14"/>
  <c r="M7" i="15" s="1"/>
  <c r="J64" i="15"/>
  <c r="E56" i="15"/>
  <c r="D40" i="15"/>
  <c r="J24" i="15"/>
  <c r="K56" i="15"/>
  <c r="F48" i="15"/>
  <c r="I47" i="15"/>
  <c r="J40" i="15"/>
  <c r="E39" i="15"/>
  <c r="E32" i="15"/>
  <c r="H24" i="15"/>
  <c r="K23" i="15"/>
  <c r="C23" i="15"/>
  <c r="K16" i="15"/>
  <c r="C16" i="15"/>
  <c r="F15" i="15"/>
  <c r="G8" i="15"/>
  <c r="J7" i="15"/>
  <c r="B6" i="16"/>
  <c r="D6" i="16" s="1"/>
  <c r="C6" i="25" s="1"/>
  <c r="B10" i="16"/>
  <c r="D10" i="16" s="1"/>
  <c r="C10" i="25" s="1"/>
  <c r="K5" i="15"/>
  <c r="E9" i="16"/>
  <c r="B9" i="25" s="1"/>
  <c r="F5" i="16"/>
  <c r="I5" i="15"/>
  <c r="B4" i="16"/>
  <c r="D4" i="16" s="1"/>
  <c r="C4" i="25" s="1"/>
  <c r="J5" i="15"/>
  <c r="H5" i="15"/>
  <c r="D5" i="15"/>
  <c r="F59" i="15"/>
  <c r="F43" i="15"/>
  <c r="F35" i="15"/>
  <c r="F19" i="15"/>
  <c r="J58" i="15"/>
  <c r="E59" i="15"/>
  <c r="H58" i="15"/>
  <c r="E51" i="15"/>
  <c r="H50" i="15"/>
  <c r="E43" i="15"/>
  <c r="H42" i="15"/>
  <c r="E35" i="15"/>
  <c r="H34" i="15"/>
  <c r="E27" i="15"/>
  <c r="H26" i="15"/>
  <c r="E19" i="15"/>
  <c r="H18" i="15"/>
  <c r="E11" i="15"/>
  <c r="H10" i="15"/>
  <c r="J41" i="15"/>
  <c r="E33" i="15"/>
  <c r="M53" i="14"/>
  <c r="M52" i="15" s="1"/>
  <c r="M37" i="14"/>
  <c r="M36" i="15" s="1"/>
  <c r="M29" i="14"/>
  <c r="M28" i="15" s="1"/>
  <c r="F11" i="15"/>
  <c r="L59" i="15"/>
  <c r="G58" i="15"/>
  <c r="L51" i="15"/>
  <c r="D51" i="15"/>
  <c r="G50" i="15"/>
  <c r="G34" i="15"/>
  <c r="L27" i="15"/>
  <c r="G26" i="15"/>
  <c r="G18" i="15"/>
  <c r="G10" i="15"/>
  <c r="M56" i="14"/>
  <c r="M55" i="15" s="1"/>
  <c r="F51" i="15"/>
  <c r="F27" i="15"/>
  <c r="J34" i="15"/>
  <c r="M63" i="14"/>
  <c r="M62" i="15" s="1"/>
  <c r="D59" i="15"/>
  <c r="K59" i="15"/>
  <c r="F58" i="15"/>
  <c r="K51" i="15"/>
  <c r="C51" i="15"/>
  <c r="F50" i="15"/>
  <c r="F42" i="15"/>
  <c r="F34" i="15"/>
  <c r="C19" i="15"/>
  <c r="J35" i="15"/>
  <c r="E34" i="15"/>
  <c r="J27" i="15"/>
  <c r="E26" i="15"/>
  <c r="J19" i="15"/>
  <c r="E18" i="15"/>
  <c r="J11" i="15"/>
  <c r="E10" i="15"/>
  <c r="I27" i="15"/>
  <c r="L26" i="15"/>
  <c r="D26" i="15"/>
  <c r="I19" i="15"/>
  <c r="L18" i="15"/>
  <c r="D18" i="15"/>
  <c r="I11" i="15"/>
  <c r="L10" i="15"/>
  <c r="D10" i="15"/>
  <c r="J59" i="15"/>
  <c r="J51" i="15"/>
  <c r="J43" i="15"/>
  <c r="I51" i="15"/>
  <c r="I43" i="15"/>
  <c r="L42" i="15"/>
  <c r="D42" i="15"/>
  <c r="I35" i="15"/>
  <c r="L34" i="15"/>
  <c r="D34" i="15"/>
  <c r="K58" i="15"/>
  <c r="H43" i="15"/>
  <c r="K42" i="15"/>
  <c r="K34" i="15"/>
  <c r="J36" i="15"/>
  <c r="E28" i="15"/>
  <c r="D20" i="15"/>
  <c r="L12" i="15"/>
  <c r="F26" i="15"/>
  <c r="F10" i="15"/>
  <c r="K26" i="15"/>
  <c r="K18" i="15"/>
  <c r="K10" i="15"/>
  <c r="J26" i="15"/>
  <c r="J18" i="15"/>
  <c r="J10" i="15"/>
  <c r="I26" i="15"/>
  <c r="I18" i="15"/>
  <c r="I10" i="15"/>
  <c r="F28" i="15"/>
  <c r="J60" i="15"/>
  <c r="J52" i="15"/>
  <c r="L58" i="15"/>
  <c r="M65" i="14"/>
  <c r="M64" i="15" s="1"/>
  <c r="M41" i="14"/>
  <c r="M40" i="15" s="1"/>
  <c r="C40" i="15"/>
  <c r="M9" i="14"/>
  <c r="M8" i="15" s="1"/>
  <c r="C8" i="15"/>
  <c r="M55" i="14"/>
  <c r="M54" i="15" s="1"/>
  <c r="C60" i="15"/>
  <c r="M46" i="14"/>
  <c r="M45" i="15" s="1"/>
  <c r="C45" i="15"/>
  <c r="M38" i="14"/>
  <c r="M37" i="15" s="1"/>
  <c r="C21" i="15"/>
  <c r="M22" i="14"/>
  <c r="M21" i="15" s="1"/>
  <c r="M14" i="14"/>
  <c r="M13" i="15" s="1"/>
  <c r="C13" i="15"/>
  <c r="M48" i="14"/>
  <c r="M47" i="15" s="1"/>
  <c r="M16" i="14"/>
  <c r="M15" i="15" s="1"/>
  <c r="H59" i="15"/>
  <c r="M59" i="14"/>
  <c r="M58" i="15" s="1"/>
  <c r="C58" i="15"/>
  <c r="M51" i="14"/>
  <c r="M50" i="15" s="1"/>
  <c r="M43" i="14"/>
  <c r="M42" i="15" s="1"/>
  <c r="H35" i="15"/>
  <c r="C34" i="15"/>
  <c r="M35" i="14"/>
  <c r="M34" i="15" s="1"/>
  <c r="H27" i="15"/>
  <c r="M27" i="14"/>
  <c r="M26" i="15" s="1"/>
  <c r="C26" i="15"/>
  <c r="H19" i="15"/>
  <c r="M19" i="14"/>
  <c r="M18" i="15" s="1"/>
  <c r="C18" i="15"/>
  <c r="M11" i="14"/>
  <c r="M10" i="15" s="1"/>
  <c r="C7" i="15"/>
  <c r="M47" i="14"/>
  <c r="M46" i="15" s="1"/>
  <c r="M15" i="14"/>
  <c r="M14" i="15" s="1"/>
  <c r="M45" i="14"/>
  <c r="M44" i="15" s="1"/>
  <c r="M57" i="14"/>
  <c r="M56" i="15" s="1"/>
  <c r="C56" i="15"/>
  <c r="M49" i="14"/>
  <c r="M48" i="15" s="1"/>
  <c r="M33" i="14"/>
  <c r="M32" i="15" s="1"/>
  <c r="C32" i="15"/>
  <c r="M25" i="14"/>
  <c r="M24" i="15" s="1"/>
  <c r="C24" i="15"/>
  <c r="M17" i="14"/>
  <c r="M16" i="15" s="1"/>
  <c r="M23" i="14"/>
  <c r="M22" i="15" s="1"/>
  <c r="C52" i="15"/>
  <c r="C61" i="15"/>
  <c r="M62" i="14"/>
  <c r="M61" i="15" s="1"/>
  <c r="M54" i="14"/>
  <c r="M53" i="15" s="1"/>
  <c r="C29" i="15"/>
  <c r="M30" i="14"/>
  <c r="M29" i="15" s="1"/>
  <c r="C37" i="15"/>
  <c r="G51" i="15"/>
  <c r="G43" i="15"/>
  <c r="G27" i="15"/>
  <c r="G19" i="15"/>
  <c r="C62" i="15"/>
  <c r="C42" i="15"/>
  <c r="M40" i="14"/>
  <c r="M39" i="15" s="1"/>
  <c r="M61" i="14"/>
  <c r="M60" i="15" s="1"/>
  <c r="C20" i="15"/>
  <c r="M21" i="14"/>
  <c r="M20" i="15" s="1"/>
  <c r="M13" i="14"/>
  <c r="M12" i="15" s="1"/>
  <c r="C64" i="15"/>
  <c r="M39" i="14"/>
  <c r="M38" i="15" s="1"/>
  <c r="M7" i="14"/>
  <c r="C57" i="15"/>
  <c r="M58" i="14"/>
  <c r="M57" i="15" s="1"/>
  <c r="J44" i="15"/>
  <c r="M42" i="14"/>
  <c r="M41" i="15" s="1"/>
  <c r="C41" i="15"/>
  <c r="M26" i="14"/>
  <c r="M25" i="15" s="1"/>
  <c r="C25" i="15"/>
  <c r="M64" i="14"/>
  <c r="M63" i="15" s="1"/>
  <c r="I36" i="15"/>
  <c r="L35" i="15"/>
  <c r="D35" i="15"/>
  <c r="L19" i="15"/>
  <c r="D19" i="15"/>
  <c r="L11" i="15"/>
  <c r="D11" i="15"/>
  <c r="M31" i="14"/>
  <c r="M30" i="15" s="1"/>
  <c r="M50" i="14"/>
  <c r="C49" i="15"/>
  <c r="M34" i="14"/>
  <c r="M33" i="15" s="1"/>
  <c r="C33" i="15"/>
  <c r="M18" i="14"/>
  <c r="M17" i="15" s="1"/>
  <c r="C17" i="15"/>
  <c r="M10" i="14"/>
  <c r="M9" i="15" s="1"/>
  <c r="C9" i="15"/>
  <c r="M32" i="14"/>
  <c r="M31" i="15" s="1"/>
  <c r="M60" i="14"/>
  <c r="M59" i="15" s="1"/>
  <c r="M52" i="14"/>
  <c r="M51" i="15" s="1"/>
  <c r="K43" i="15"/>
  <c r="C43" i="15"/>
  <c r="M44" i="14"/>
  <c r="M43" i="15" s="1"/>
  <c r="K35" i="15"/>
  <c r="M36" i="14"/>
  <c r="M35" i="15" s="1"/>
  <c r="C35" i="15"/>
  <c r="K27" i="15"/>
  <c r="M28" i="14"/>
  <c r="M27" i="15" s="1"/>
  <c r="C27" i="15"/>
  <c r="M20" i="14"/>
  <c r="M19" i="15" s="1"/>
  <c r="K11" i="15"/>
  <c r="C11" i="15"/>
  <c r="M12" i="14"/>
  <c r="M11" i="15" s="1"/>
  <c r="C59" i="15"/>
  <c r="C48" i="15"/>
  <c r="M24" i="14"/>
  <c r="M23" i="15" s="1"/>
  <c r="I60" i="15"/>
  <c r="I52" i="15"/>
  <c r="I44" i="15"/>
  <c r="G36" i="15"/>
  <c r="D28" i="15"/>
  <c r="L20" i="15"/>
  <c r="J12" i="15"/>
  <c r="C12" i="15"/>
  <c r="H60" i="15"/>
  <c r="H52" i="15"/>
  <c r="G44" i="15"/>
  <c r="F36" i="15"/>
  <c r="C28" i="15"/>
  <c r="K20" i="15"/>
  <c r="I12" i="15"/>
  <c r="G60" i="15"/>
  <c r="G52" i="15"/>
  <c r="F44" i="15"/>
  <c r="D36" i="15"/>
  <c r="L28" i="15"/>
  <c r="J20" i="15"/>
  <c r="F12" i="15"/>
  <c r="F60" i="15"/>
  <c r="F52" i="15"/>
  <c r="E44" i="15"/>
  <c r="C36" i="15"/>
  <c r="K28" i="15"/>
  <c r="I20" i="15"/>
  <c r="K12" i="15"/>
  <c r="E20" i="15"/>
  <c r="E60" i="15"/>
  <c r="E52" i="15"/>
  <c r="D44" i="15"/>
  <c r="L36" i="15"/>
  <c r="J28" i="15"/>
  <c r="G20" i="15"/>
  <c r="H44" i="15"/>
  <c r="L60" i="15"/>
  <c r="D60" i="15"/>
  <c r="L52" i="15"/>
  <c r="D52" i="15"/>
  <c r="L44" i="15"/>
  <c r="C44" i="15"/>
  <c r="K36" i="15"/>
  <c r="I28" i="15"/>
  <c r="F20" i="15"/>
  <c r="E36" i="15"/>
  <c r="K60" i="15"/>
  <c r="K52" i="15"/>
  <c r="K44" i="15"/>
  <c r="G28" i="15"/>
  <c r="H36" i="15"/>
  <c r="H28" i="15"/>
  <c r="H20" i="15"/>
  <c r="H12" i="15"/>
  <c r="G12" i="15"/>
  <c r="E12" i="15"/>
  <c r="D12" i="15"/>
  <c r="M49" i="15" l="1"/>
  <c r="C14" i="16"/>
  <c r="E14" i="16" s="1"/>
  <c r="B14" i="25" s="1"/>
  <c r="M6" i="15"/>
  <c r="J3" i="16"/>
  <c r="C17" i="25" s="1"/>
  <c r="I4" i="16"/>
  <c r="B18" i="25" s="1"/>
  <c r="I3" i="16"/>
  <c r="B17" i="25" s="1"/>
  <c r="I7" i="16"/>
  <c r="B21" i="25" s="1"/>
  <c r="F7" i="16"/>
  <c r="G5" i="16"/>
  <c r="H5" i="16" s="1"/>
  <c r="G8" i="16"/>
  <c r="J13" i="16"/>
  <c r="C27" i="25" s="1"/>
  <c r="I11" i="16"/>
  <c r="B25" i="25" s="1"/>
  <c r="I5" i="16"/>
  <c r="B19" i="25" s="1"/>
  <c r="G11" i="16"/>
  <c r="G6" i="16"/>
  <c r="G12" i="16"/>
  <c r="F11" i="16"/>
  <c r="J10" i="16"/>
  <c r="M4" i="26" s="1"/>
  <c r="I8" i="16"/>
  <c r="B22" i="25" s="1"/>
  <c r="F12" i="16"/>
  <c r="J5" i="16"/>
  <c r="F3" i="16"/>
  <c r="F13" i="16"/>
  <c r="J6" i="16"/>
  <c r="C20" i="25" s="1"/>
  <c r="I6" i="16"/>
  <c r="B20" i="25" s="1"/>
  <c r="J7" i="16"/>
  <c r="I12" i="16"/>
  <c r="B26" i="25" s="1"/>
  <c r="J12" i="16"/>
  <c r="C26" i="25" s="1"/>
  <c r="I13" i="16"/>
  <c r="B27" i="25" s="1"/>
  <c r="G13" i="16"/>
  <c r="J9" i="16"/>
  <c r="M5" i="26" s="1"/>
  <c r="G3" i="16"/>
  <c r="F6" i="16"/>
  <c r="G7" i="16"/>
  <c r="J11" i="16"/>
  <c r="C25" i="25" s="1"/>
  <c r="J8" i="16"/>
  <c r="G3" i="26" s="1"/>
  <c r="G5" i="26" s="1"/>
  <c r="B10" i="26" s="1"/>
  <c r="J4" i="16"/>
  <c r="G4" i="16"/>
  <c r="F4" i="16"/>
  <c r="F8" i="16"/>
  <c r="G9" i="16"/>
  <c r="F9" i="16"/>
  <c r="I9" i="16"/>
  <c r="B23" i="25" s="1"/>
  <c r="F10" i="16"/>
  <c r="G10" i="16"/>
  <c r="I10" i="16"/>
  <c r="B24" i="25" s="1"/>
  <c r="M5" i="15"/>
  <c r="B14" i="16"/>
  <c r="D14" i="16" s="1"/>
  <c r="C14" i="25" s="1"/>
  <c r="H12" i="16" l="1"/>
  <c r="H11" i="16"/>
  <c r="C24" i="25"/>
  <c r="H13" i="16"/>
  <c r="H6" i="16"/>
  <c r="H3" i="16"/>
  <c r="C18" i="25"/>
  <c r="J3" i="26"/>
  <c r="J5" i="26" s="1"/>
  <c r="B12" i="26" s="1"/>
  <c r="C3" i="26"/>
  <c r="C21" i="25"/>
  <c r="C4" i="26"/>
  <c r="C19" i="25"/>
  <c r="M3" i="26"/>
  <c r="M6" i="26" s="1"/>
  <c r="B13" i="26" s="1"/>
  <c r="C23" i="25"/>
  <c r="C22" i="25"/>
  <c r="H10" i="16"/>
  <c r="H4" i="16"/>
  <c r="I14" i="16"/>
  <c r="B28" i="25" s="1"/>
  <c r="G14" i="16"/>
  <c r="F14" i="16"/>
  <c r="J14" i="16"/>
  <c r="C28" i="25" s="1"/>
  <c r="C5" i="26" l="1"/>
  <c r="B11" i="26" s="1"/>
  <c r="H14" i="16"/>
</calcChain>
</file>

<file path=xl/sharedStrings.xml><?xml version="1.0" encoding="utf-8"?>
<sst xmlns="http://schemas.openxmlformats.org/spreadsheetml/2006/main" count="123" uniqueCount="73">
  <si>
    <t>Date</t>
  </si>
  <si>
    <t>Adj Close </t>
  </si>
  <si>
    <t>AAPL</t>
  </si>
  <si>
    <t>BAC</t>
  </si>
  <si>
    <t>COST</t>
  </si>
  <si>
    <t>HD</t>
  </si>
  <si>
    <t>LLY</t>
  </si>
  <si>
    <t>MA</t>
  </si>
  <si>
    <t>META</t>
  </si>
  <si>
    <t>MSFT</t>
  </si>
  <si>
    <t>PG</t>
  </si>
  <si>
    <t>UNH</t>
  </si>
  <si>
    <t>SPY</t>
  </si>
  <si>
    <t>R-F (APR)</t>
  </si>
  <si>
    <t>Rf_monthly (%).</t>
  </si>
  <si>
    <t>SPY Return %</t>
  </si>
  <si>
    <t>MA Return %</t>
  </si>
  <si>
    <t>BAC Return %</t>
  </si>
  <si>
    <t>AAPL Return %</t>
  </si>
  <si>
    <t>COST Return %</t>
  </si>
  <si>
    <t>HD Return %</t>
  </si>
  <si>
    <t>LLY Return %</t>
  </si>
  <si>
    <t>Meta Return %</t>
  </si>
  <si>
    <t>MSFT Return %</t>
  </si>
  <si>
    <t>PG Return %</t>
  </si>
  <si>
    <t>UNH Return %</t>
  </si>
  <si>
    <t>SPY Excess %</t>
  </si>
  <si>
    <t>MA Excess %</t>
  </si>
  <si>
    <t>AAPL Excess %</t>
  </si>
  <si>
    <t>COST Excess %</t>
  </si>
  <si>
    <t>HD Excess %</t>
  </si>
  <si>
    <t>LLY Excess %</t>
  </si>
  <si>
    <t>MSFT Excess %</t>
  </si>
  <si>
    <t>PG Excess %</t>
  </si>
  <si>
    <t>UNH Excess %</t>
  </si>
  <si>
    <r>
      <t xml:space="preserve">BAC Excess </t>
    </r>
    <r>
      <rPr>
        <strike/>
        <sz val="11"/>
        <color theme="1"/>
        <rFont val="Aptos Narrow"/>
        <family val="2"/>
        <scheme val="minor"/>
      </rPr>
      <t>%</t>
    </r>
  </si>
  <si>
    <t>Meta Excess %</t>
  </si>
  <si>
    <r>
      <t xml:space="preserve">Portfolio Return </t>
    </r>
    <r>
      <rPr>
        <strike/>
        <sz val="11"/>
        <color theme="1"/>
        <rFont val="Aptos Narrow"/>
        <family val="2"/>
        <scheme val="minor"/>
      </rPr>
      <t>%</t>
    </r>
  </si>
  <si>
    <t>Portfolio Excess %</t>
  </si>
  <si>
    <t>Asset</t>
  </si>
  <si>
    <t>Sharpe Ratio</t>
  </si>
  <si>
    <t>Correlation to SPY</t>
  </si>
  <si>
    <t>Beta to SPY</t>
  </si>
  <si>
    <t>PORTFOLIO</t>
  </si>
  <si>
    <r>
      <t xml:space="preserve">Mean Monthly Return </t>
    </r>
    <r>
      <rPr>
        <strike/>
        <sz val="11"/>
        <color theme="1"/>
        <rFont val="Aptos Narrow"/>
        <family val="2"/>
        <scheme val="minor"/>
      </rPr>
      <t>%</t>
    </r>
  </si>
  <si>
    <t>Stdev Monthly Return %</t>
  </si>
  <si>
    <t>Annual Mean Return %</t>
  </si>
  <si>
    <t>Annual Stdev (Vol) %</t>
  </si>
  <si>
    <t xml:space="preserve"> Mean Monthly Excess Return %</t>
  </si>
  <si>
    <t>Stdev of Monthly Excess Returns %</t>
  </si>
  <si>
    <t>National, big-box retailer</t>
  </si>
  <si>
    <t>Technology firm</t>
  </si>
  <si>
    <t xml:space="preserve"> Pharmaceutical manufacturer</t>
  </si>
  <si>
    <t xml:space="preserve">Large bank </t>
  </si>
  <si>
    <t>Beta</t>
  </si>
  <si>
    <t>COSTCO (COST)</t>
  </si>
  <si>
    <t>HOME DEPOT (HD)</t>
  </si>
  <si>
    <t>ELI LILLY (LLY)</t>
  </si>
  <si>
    <t xml:space="preserve">BANK OF AMERICA </t>
  </si>
  <si>
    <t>TO USE</t>
  </si>
  <si>
    <t xml:space="preserve">Cost of Capital </t>
  </si>
  <si>
    <t>RF</t>
  </si>
  <si>
    <t>MRP</t>
  </si>
  <si>
    <t>Pharmaceutical</t>
  </si>
  <si>
    <t>National Big box retailer</t>
  </si>
  <si>
    <t>Large Bank</t>
  </si>
  <si>
    <t>Technology</t>
  </si>
  <si>
    <t>Kelvin Nlebemchukwu</t>
  </si>
  <si>
    <t>RF+B(MRP)</t>
  </si>
  <si>
    <t>Formula: For individua stock ((Adj Closing at the current period / Adj Closing for the past period) - 1) x 100. For portfolio return: Sum of all individual return for the month / the numbers</t>
  </si>
  <si>
    <t>Formula: Monthly return - Risk free monthly return x 100</t>
  </si>
  <si>
    <t>sum of all monthly return / no of months</t>
  </si>
  <si>
    <t>Portfolio monthly return - Risk free monthly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</si>
</sst>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trike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2" fontId="2" fillId="0" borderId="0" xfId="1" applyNumberFormat="1"/>
    <xf numFmtId="0" fontId="2" fillId="2" borderId="0" xfId="1" applyFill="1"/>
    <xf numFmtId="0" fontId="3" fillId="0" borderId="0" xfId="0" applyFont="1" applyAlignment="1">
      <alignment vertical="center"/>
    </xf>
    <xf numFmtId="2" fontId="0" fillId="0" borderId="0" xfId="0" applyNumberFormat="1"/>
    <xf numFmtId="0" fontId="5" fillId="0" borderId="0" xfId="0" applyFont="1"/>
    <xf numFmtId="0" fontId="1" fillId="0" borderId="0" xfId="0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3">
    <cellStyle name="Normal" xfId="0" builtinId="0"/>
    <cellStyle name="Normal 2" xfId="1" xr:uid="{F26D39E9-D771-4B35-99D7-03C0F595D5BD}"/>
    <cellStyle name="Percent 2" xfId="2" xr:uid="{310D9E69-437B-49DD-B99D-96D4571D2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Risk-Return Plot: Portfolio vs. Individual Stocks and SPY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PLOTS!$B$2</c:f>
              <c:strCache>
                <c:ptCount val="1"/>
                <c:pt idx="0">
                  <c:v>Annual Stdev (Vol)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PLOTS!$A$3:$A$14</c:f>
              <c:strCache>
                <c:ptCount val="12"/>
                <c:pt idx="0">
                  <c:v>MA</c:v>
                </c:pt>
                <c:pt idx="1">
                  <c:v>BAC</c:v>
                </c:pt>
                <c:pt idx="2">
                  <c:v>AAPL</c:v>
                </c:pt>
                <c:pt idx="3">
                  <c:v>COST</c:v>
                </c:pt>
                <c:pt idx="4">
                  <c:v>HD</c:v>
                </c:pt>
                <c:pt idx="5">
                  <c:v>LLY</c:v>
                </c:pt>
                <c:pt idx="6">
                  <c:v>META</c:v>
                </c:pt>
                <c:pt idx="7">
                  <c:v>MSFT</c:v>
                </c:pt>
                <c:pt idx="8">
                  <c:v>PG</c:v>
                </c:pt>
                <c:pt idx="9">
                  <c:v>UNH</c:v>
                </c:pt>
                <c:pt idx="10">
                  <c:v>SPY</c:v>
                </c:pt>
                <c:pt idx="11">
                  <c:v>PORTFOLIO</c:v>
                </c:pt>
              </c:strCache>
            </c:strRef>
          </c:xVal>
          <c:yVal>
            <c:numRef>
              <c:f>PLOTS!$B$3:$B$14</c:f>
              <c:numCache>
                <c:formatCode>0.00</c:formatCode>
                <c:ptCount val="12"/>
                <c:pt idx="0">
                  <c:v>21.901523291071818</c:v>
                </c:pt>
                <c:pt idx="1">
                  <c:v>28.223751102500241</c:v>
                </c:pt>
                <c:pt idx="2">
                  <c:v>24.503036763018997</c:v>
                </c:pt>
                <c:pt idx="3">
                  <c:v>23.256446249532775</c:v>
                </c:pt>
                <c:pt idx="4">
                  <c:v>24.019083922976904</c:v>
                </c:pt>
                <c:pt idx="5">
                  <c:v>32.560887950674889</c:v>
                </c:pt>
                <c:pt idx="6">
                  <c:v>41.039948108731174</c:v>
                </c:pt>
                <c:pt idx="7">
                  <c:v>22.280554751225779</c:v>
                </c:pt>
                <c:pt idx="8">
                  <c:v>17.651253011525391</c:v>
                </c:pt>
                <c:pt idx="9">
                  <c:v>30.299048951982453</c:v>
                </c:pt>
                <c:pt idx="10">
                  <c:v>15.326665884851311</c:v>
                </c:pt>
                <c:pt idx="11">
                  <c:v>14.920289294130669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7E-4555-9512-3243917B61D3}"/>
            </c:ext>
          </c:extLst>
        </c:ser>
        <c:ser>
          <c:idx val="1"/>
          <c:order val="1"/>
          <c:tx>
            <c:strRef>
              <c:f>PLOTS!$C$2</c:f>
              <c:strCache>
                <c:ptCount val="1"/>
                <c:pt idx="0">
                  <c:v>Annual Mean Return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PLOTS!$A$3:$A$14</c:f>
              <c:strCache>
                <c:ptCount val="12"/>
                <c:pt idx="0">
                  <c:v>MA</c:v>
                </c:pt>
                <c:pt idx="1">
                  <c:v>BAC</c:v>
                </c:pt>
                <c:pt idx="2">
                  <c:v>AAPL</c:v>
                </c:pt>
                <c:pt idx="3">
                  <c:v>COST</c:v>
                </c:pt>
                <c:pt idx="4">
                  <c:v>HD</c:v>
                </c:pt>
                <c:pt idx="5">
                  <c:v>LLY</c:v>
                </c:pt>
                <c:pt idx="6">
                  <c:v>META</c:v>
                </c:pt>
                <c:pt idx="7">
                  <c:v>MSFT</c:v>
                </c:pt>
                <c:pt idx="8">
                  <c:v>PG</c:v>
                </c:pt>
                <c:pt idx="9">
                  <c:v>UNH</c:v>
                </c:pt>
                <c:pt idx="10">
                  <c:v>SPY</c:v>
                </c:pt>
                <c:pt idx="11">
                  <c:v>PORTFOLIO</c:v>
                </c:pt>
              </c:strCache>
            </c:strRef>
          </c:xVal>
          <c:yVal>
            <c:numRef>
              <c:f>PLOTS!$C$3:$C$14</c:f>
              <c:numCache>
                <c:formatCode>0.00</c:formatCode>
                <c:ptCount val="12"/>
                <c:pt idx="0">
                  <c:v>12.345377510393806</c:v>
                </c:pt>
                <c:pt idx="1">
                  <c:v>18.33958425123291</c:v>
                </c:pt>
                <c:pt idx="2">
                  <c:v>17.88297436376396</c:v>
                </c:pt>
                <c:pt idx="3">
                  <c:v>20.99276175612523</c:v>
                </c:pt>
                <c:pt idx="4">
                  <c:v>10.427040271534826</c:v>
                </c:pt>
                <c:pt idx="5">
                  <c:v>43.715520134403562</c:v>
                </c:pt>
                <c:pt idx="6">
                  <c:v>26.517206265579727</c:v>
                </c:pt>
                <c:pt idx="7">
                  <c:v>18.850501082437262</c:v>
                </c:pt>
                <c:pt idx="8">
                  <c:v>4.6078278842695903</c:v>
                </c:pt>
                <c:pt idx="9">
                  <c:v>5.0388689736674639</c:v>
                </c:pt>
                <c:pt idx="10">
                  <c:v>14.656987786384667</c:v>
                </c:pt>
                <c:pt idx="11">
                  <c:v>17.871766249340833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7E-4555-9512-3243917B6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693968"/>
        <c:axId val="1473717968"/>
      </c:scatterChart>
      <c:valAx>
        <c:axId val="147369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 Annual</a:t>
                </a:r>
                <a:r>
                  <a:rPr lang="en-US" sz="1200" b="1" baseline="0"/>
                  <a:t> Standard Deviation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17968"/>
        <c:crosses val="autoZero"/>
        <c:crossBetween val="midCat"/>
      </c:valAx>
      <c:valAx>
        <c:axId val="147371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Annual</a:t>
                </a:r>
                <a:r>
                  <a:rPr lang="en-US" sz="1200" b="1" baseline="0"/>
                  <a:t> Mean Return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9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Annualized Volatility (Standard Deviation) by Asset – Portfolio vs. Individual Stocks and SPY (2021–2025)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PLOTS!$B$2</c:f>
              <c:strCache>
                <c:ptCount val="1"/>
                <c:pt idx="0">
                  <c:v>Annual Stdev (Vol)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PLOTS!$A$3:$A$14</c:f>
              <c:strCache>
                <c:ptCount val="12"/>
                <c:pt idx="0">
                  <c:v>MA</c:v>
                </c:pt>
                <c:pt idx="1">
                  <c:v>BAC</c:v>
                </c:pt>
                <c:pt idx="2">
                  <c:v>AAPL</c:v>
                </c:pt>
                <c:pt idx="3">
                  <c:v>COST</c:v>
                </c:pt>
                <c:pt idx="4">
                  <c:v>HD</c:v>
                </c:pt>
                <c:pt idx="5">
                  <c:v>LLY</c:v>
                </c:pt>
                <c:pt idx="6">
                  <c:v>META</c:v>
                </c:pt>
                <c:pt idx="7">
                  <c:v>MSFT</c:v>
                </c:pt>
                <c:pt idx="8">
                  <c:v>PG</c:v>
                </c:pt>
                <c:pt idx="9">
                  <c:v>UNH</c:v>
                </c:pt>
                <c:pt idx="10">
                  <c:v>SPY</c:v>
                </c:pt>
                <c:pt idx="11">
                  <c:v>PORTFOLIO</c:v>
                </c:pt>
              </c:strCache>
            </c:strRef>
          </c:cat>
          <c:val>
            <c:numRef>
              <c:f>PLOTS!$B$3:$B$14</c:f>
              <c:numCache>
                <c:formatCode>0.00</c:formatCode>
                <c:ptCount val="12"/>
                <c:pt idx="0">
                  <c:v>21.901523291071818</c:v>
                </c:pt>
                <c:pt idx="1">
                  <c:v>28.223751102500241</c:v>
                </c:pt>
                <c:pt idx="2">
                  <c:v>24.503036763018997</c:v>
                </c:pt>
                <c:pt idx="3">
                  <c:v>23.256446249532775</c:v>
                </c:pt>
                <c:pt idx="4">
                  <c:v>24.019083922976904</c:v>
                </c:pt>
                <c:pt idx="5">
                  <c:v>32.560887950674889</c:v>
                </c:pt>
                <c:pt idx="6">
                  <c:v>41.039948108731174</c:v>
                </c:pt>
                <c:pt idx="7">
                  <c:v>22.280554751225779</c:v>
                </c:pt>
                <c:pt idx="8">
                  <c:v>17.651253011525391</c:v>
                </c:pt>
                <c:pt idx="9">
                  <c:v>30.299048951982453</c:v>
                </c:pt>
                <c:pt idx="10">
                  <c:v>15.326665884851311</c:v>
                </c:pt>
                <c:pt idx="11">
                  <c:v>14.920289294130669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7-4CB2-A115-E457B59CA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40608"/>
        <c:axId val="103439168"/>
      </c:barChart>
      <c:catAx>
        <c:axId val="10344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Asset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9168"/>
        <c:crosses val="autoZero"/>
        <c:auto val="1"/>
        <c:lblAlgn val="ctr"/>
        <c:lblOffset val="100"/>
        <c:noMultiLvlLbl val="0"/>
      </c:catAx>
      <c:valAx>
        <c:axId val="1034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Standard Deviation (Volatility)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4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Correlation Coefficients to SPY Excess Returns by Asset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PLOTS!$B$16</c:f>
              <c:strCache>
                <c:ptCount val="1"/>
                <c:pt idx="0">
                  <c:v>Correlation to SPY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PLOTS!$A$17:$A$28</c:f>
              <c:strCache>
                <c:ptCount val="12"/>
                <c:pt idx="0">
                  <c:v>MA</c:v>
                </c:pt>
                <c:pt idx="1">
                  <c:v>BAC</c:v>
                </c:pt>
                <c:pt idx="2">
                  <c:v>AAPL</c:v>
                </c:pt>
                <c:pt idx="3">
                  <c:v>COST</c:v>
                </c:pt>
                <c:pt idx="4">
                  <c:v>HD</c:v>
                </c:pt>
                <c:pt idx="5">
                  <c:v>LLY</c:v>
                </c:pt>
                <c:pt idx="6">
                  <c:v>META</c:v>
                </c:pt>
                <c:pt idx="7">
                  <c:v>MSFT</c:v>
                </c:pt>
                <c:pt idx="8">
                  <c:v>PG</c:v>
                </c:pt>
                <c:pt idx="9">
                  <c:v>UNH</c:v>
                </c:pt>
                <c:pt idx="10">
                  <c:v>SPY</c:v>
                </c:pt>
                <c:pt idx="11">
                  <c:v>PORTFOLIO</c:v>
                </c:pt>
              </c:strCache>
            </c:strRef>
          </c:cat>
          <c:val>
            <c:numRef>
              <c:f>PLOTS!$B$17:$B$28</c:f>
              <c:numCache>
                <c:formatCode>0.00</c:formatCode>
                <c:ptCount val="12"/>
                <c:pt idx="0">
                  <c:v>0.59495508872777159</c:v>
                </c:pt>
                <c:pt idx="1">
                  <c:v>0.70918759711984336</c:v>
                </c:pt>
                <c:pt idx="2">
                  <c:v>0.67152415979281233</c:v>
                </c:pt>
                <c:pt idx="3">
                  <c:v>0.65227999799083225</c:v>
                </c:pt>
                <c:pt idx="4">
                  <c:v>0.66632350637365212</c:v>
                </c:pt>
                <c:pt idx="5">
                  <c:v>0.15642840060864788</c:v>
                </c:pt>
                <c:pt idx="6">
                  <c:v>0.45192732163260207</c:v>
                </c:pt>
                <c:pt idx="7">
                  <c:v>0.71944491466087435</c:v>
                </c:pt>
                <c:pt idx="8">
                  <c:v>0.33224694943760047</c:v>
                </c:pt>
                <c:pt idx="9">
                  <c:v>0.21874729476231991</c:v>
                </c:pt>
                <c:pt idx="10">
                  <c:v>1.0000000000000002</c:v>
                </c:pt>
                <c:pt idx="11">
                  <c:v>0.89250404695344399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B-450F-9067-B8EDA6367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248864"/>
        <c:axId val="939244064"/>
      </c:barChart>
      <c:catAx>
        <c:axId val="93924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Asset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44064"/>
        <c:crosses val="autoZero"/>
        <c:auto val="1"/>
        <c:lblAlgn val="ctr"/>
        <c:lblOffset val="100"/>
        <c:noMultiLvlLbl val="0"/>
      </c:catAx>
      <c:valAx>
        <c:axId val="9392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4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Beta Estimates Relative to SPY: Portfolio vs. Individual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PLOTS!$C$16</c:f>
              <c:strCache>
                <c:ptCount val="1"/>
                <c:pt idx="0">
                  <c:v>Beta to SPY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PLOTS!$A$17:$A$28</c:f>
              <c:strCache>
                <c:ptCount val="12"/>
                <c:pt idx="0">
                  <c:v>MA</c:v>
                </c:pt>
                <c:pt idx="1">
                  <c:v>BAC</c:v>
                </c:pt>
                <c:pt idx="2">
                  <c:v>AAPL</c:v>
                </c:pt>
                <c:pt idx="3">
                  <c:v>COST</c:v>
                </c:pt>
                <c:pt idx="4">
                  <c:v>HD</c:v>
                </c:pt>
                <c:pt idx="5">
                  <c:v>LLY</c:v>
                </c:pt>
                <c:pt idx="6">
                  <c:v>META</c:v>
                </c:pt>
                <c:pt idx="7">
                  <c:v>MSFT</c:v>
                </c:pt>
                <c:pt idx="8">
                  <c:v>PG</c:v>
                </c:pt>
                <c:pt idx="9">
                  <c:v>UNH</c:v>
                </c:pt>
                <c:pt idx="10">
                  <c:v>SPY</c:v>
                </c:pt>
                <c:pt idx="11">
                  <c:v>PORTFOLIO</c:v>
                </c:pt>
              </c:strCache>
            </c:strRef>
          </c:cat>
          <c:val>
            <c:numRef>
              <c:f>PLOTS!$C$17:$C$28</c:f>
              <c:numCache>
                <c:formatCode>General</c:formatCode>
                <c:ptCount val="12"/>
                <c:pt idx="0">
                  <c:v>0.85116676896040422</c:v>
                </c:pt>
                <c:pt idx="1">
                  <c:v>1.3104957160475068</c:v>
                </c:pt>
                <c:pt idx="2">
                  <c:v>1.0773358460256033</c:v>
                </c:pt>
                <c:pt idx="3">
                  <c:v>0.99340298738076649</c:v>
                </c:pt>
                <c:pt idx="4">
                  <c:v>1.0487860214416571</c:v>
                </c:pt>
                <c:pt idx="5">
                  <c:v>0.33389744883962541</c:v>
                </c:pt>
                <c:pt idx="6">
                  <c:v>1.2098320257417241</c:v>
                </c:pt>
                <c:pt idx="7">
                  <c:v>1.0488820041641809</c:v>
                </c:pt>
                <c:pt idx="8">
                  <c:v>0.38391017677552886</c:v>
                </c:pt>
                <c:pt idx="9">
                  <c:v>0.43557870519594283</c:v>
                </c:pt>
                <c:pt idx="10">
                  <c:v>1</c:v>
                </c:pt>
                <c:pt idx="11">
                  <c:v>0.86932877005729425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3-4FCF-BCB9-DC18F8A05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686656"/>
        <c:axId val="925686176"/>
      </c:barChart>
      <c:catAx>
        <c:axId val="9256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Asset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86176"/>
        <c:crosses val="autoZero"/>
        <c:auto val="1"/>
        <c:lblAlgn val="ctr"/>
        <c:lblOffset val="100"/>
        <c:noMultiLvlLbl val="0"/>
      </c:catAx>
      <c:valAx>
        <c:axId val="9256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111125</xdr:colOff>
      <xdr:row>1</xdr:row>
      <xdr:rowOff>6350</xdr:rowOff>
    </xdr:from>
    <xdr:to>
      <xdr:col>11</xdr:col>
      <xdr:colOff>415925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8A886-1F53-1597-25B0-2AD25A66C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7134</xdr:colOff>
      <xdr:row>1</xdr:row>
      <xdr:rowOff>108423</xdr:rowOff>
    </xdr:from>
    <xdr:to>
      <xdr:col>20</xdr:col>
      <xdr:colOff>242584</xdr:colOff>
      <xdr:row>19</xdr:row>
      <xdr:rowOff>171236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A0B61F-FDE4-8B6B-E0F4-B15EB4B0D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39955</xdr:colOff>
      <xdr:row>16</xdr:row>
      <xdr:rowOff>114158</xdr:rowOff>
    </xdr:from>
    <xdr:to>
      <xdr:col>11</xdr:col>
      <xdr:colOff>392416</xdr:colOff>
      <xdr:row>32</xdr:row>
      <xdr:rowOff>90897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E3D992-839B-086A-AE73-E8EDB7F07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25686</xdr:colOff>
      <xdr:row>20</xdr:row>
      <xdr:rowOff>101742</xdr:rowOff>
    </xdr:from>
    <xdr:to>
      <xdr:col>20</xdr:col>
      <xdr:colOff>249719</xdr:colOff>
      <xdr:row>35</xdr:row>
      <xdr:rowOff>62358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BBAC0F-6D31-09A1-DCCB-64C94122F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8BE9-4592-436D-BE9E-FF8CDFC829E1}">
  <dimension ref="A1:O64"/>
  <sheetViews>
    <sheetView workbookViewId="0">
      <selection activeCell="E16" sqref="E16"/>
    </sheetView>
  </sheetViews>
  <sheetFormatPr defaultRowHeight="14.5" x14ac:dyDescent="0.35"/>
  <cols>
    <col min="4" max="4" width="10.54296875" customWidth="1"/>
    <col min="6" max="6" width="9.26953125" customWidth="1"/>
    <col min="7" max="7" width="10.6328125" customWidth="1"/>
    <col min="8" max="8" width="9.453125" customWidth="1"/>
    <col min="9" max="9" width="9.7265625" customWidth="1"/>
    <col min="10" max="10" width="10.08984375" customWidth="1"/>
    <col min="11" max="11" width="9.81640625" customWidth="1"/>
    <col min="12" max="12" width="10.54296875" customWidth="1"/>
    <col min="13" max="13" width="10.36328125" customWidth="1"/>
    <col min="14" max="15" width="10" customWidth="1"/>
  </cols>
  <sheetData>
    <row r="1" spans="1:15" x14ac:dyDescent="0.35">
      <c r="A1" t="s">
        <v>67</v>
      </c>
    </row>
    <row r="2" spans="1:15" x14ac:dyDescent="0.35">
      <c r="B2" s="3"/>
      <c r="C2" s="3"/>
      <c r="D2" s="3"/>
      <c r="E2" s="3" t="s">
        <v>12</v>
      </c>
      <c r="F2" s="3" t="s">
        <v>7</v>
      </c>
      <c r="G2" s="3" t="s">
        <v>3</v>
      </c>
      <c r="H2" s="3" t="s">
        <v>2</v>
      </c>
      <c r="I2" s="3" t="s">
        <v>4</v>
      </c>
      <c r="J2" s="3" t="s">
        <v>5</v>
      </c>
      <c r="K2" s="3" t="s">
        <v>6</v>
      </c>
      <c r="L2" s="3" t="s">
        <v>8</v>
      </c>
      <c r="M2" s="3" t="s">
        <v>9</v>
      </c>
      <c r="N2" s="3" t="s">
        <v>10</v>
      </c>
      <c r="O2" s="3" t="s">
        <v>11</v>
      </c>
    </row>
    <row r="3" spans="1:15" ht="16" x14ac:dyDescent="0.4">
      <c r="A3" t="s">
        <v>0</v>
      </c>
      <c r="B3" s="4"/>
      <c r="C3" s="4" t="s">
        <v>13</v>
      </c>
      <c r="D3" s="7" t="s">
        <v>14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</row>
    <row r="4" spans="1:15" ht="16" x14ac:dyDescent="0.4">
      <c r="A4" s="1">
        <v>44166</v>
      </c>
      <c r="B4" s="6">
        <v>202012</v>
      </c>
      <c r="C4" s="5">
        <v>0.12</v>
      </c>
      <c r="D4" s="5">
        <f>C4/12</f>
        <v>0.01</v>
      </c>
      <c r="E4">
        <v>347.53</v>
      </c>
      <c r="F4">
        <v>346.45</v>
      </c>
      <c r="G4">
        <v>26.7</v>
      </c>
      <c r="H4">
        <v>129.16999999999999</v>
      </c>
      <c r="I4">
        <v>346.93</v>
      </c>
      <c r="J4">
        <v>233.89</v>
      </c>
      <c r="K4">
        <v>160.22999999999999</v>
      </c>
      <c r="L4">
        <v>271.27</v>
      </c>
      <c r="M4">
        <v>213.42</v>
      </c>
      <c r="N4">
        <v>121.91</v>
      </c>
      <c r="O4">
        <v>322.08</v>
      </c>
    </row>
    <row r="5" spans="1:15" ht="16" x14ac:dyDescent="0.4">
      <c r="A5" s="1">
        <v>44197</v>
      </c>
      <c r="B5" s="6">
        <v>202101</v>
      </c>
      <c r="C5" s="5">
        <v>0</v>
      </c>
      <c r="D5" s="5">
        <f t="shared" ref="D5:D64" si="0">C5/12</f>
        <v>0</v>
      </c>
      <c r="E5">
        <v>345.45</v>
      </c>
      <c r="F5">
        <v>307</v>
      </c>
      <c r="G5">
        <v>26.28</v>
      </c>
      <c r="H5">
        <v>128.46</v>
      </c>
      <c r="I5">
        <v>333.01</v>
      </c>
      <c r="J5">
        <v>239.77</v>
      </c>
      <c r="K5">
        <v>197.36</v>
      </c>
      <c r="L5">
        <v>256.54000000000002</v>
      </c>
      <c r="M5">
        <v>222.57</v>
      </c>
      <c r="N5">
        <v>112.34</v>
      </c>
      <c r="O5">
        <v>307.47000000000003</v>
      </c>
    </row>
    <row r="6" spans="1:15" ht="16" x14ac:dyDescent="0.4">
      <c r="A6" s="1">
        <v>44228</v>
      </c>
      <c r="B6" s="6">
        <v>202102</v>
      </c>
      <c r="C6" s="5">
        <v>0</v>
      </c>
      <c r="D6" s="5">
        <f t="shared" si="0"/>
        <v>0</v>
      </c>
      <c r="E6">
        <v>355.06</v>
      </c>
      <c r="F6">
        <v>343.89</v>
      </c>
      <c r="G6">
        <v>30.76</v>
      </c>
      <c r="H6">
        <v>118.04</v>
      </c>
      <c r="I6">
        <v>312.76</v>
      </c>
      <c r="J6">
        <v>228.72</v>
      </c>
      <c r="K6">
        <v>194.44</v>
      </c>
      <c r="L6">
        <v>255.83</v>
      </c>
      <c r="M6">
        <v>222.98</v>
      </c>
      <c r="N6">
        <v>108.89</v>
      </c>
      <c r="O6">
        <v>306.22000000000003</v>
      </c>
    </row>
    <row r="7" spans="1:15" ht="16" x14ac:dyDescent="0.4">
      <c r="A7" s="1">
        <v>44256</v>
      </c>
      <c r="B7" s="6">
        <v>202103</v>
      </c>
      <c r="C7" s="5">
        <v>0</v>
      </c>
      <c r="D7" s="5">
        <f t="shared" si="0"/>
        <v>0</v>
      </c>
      <c r="E7">
        <v>369.96</v>
      </c>
      <c r="F7">
        <v>346.03</v>
      </c>
      <c r="G7">
        <v>34.29</v>
      </c>
      <c r="H7">
        <v>119.08</v>
      </c>
      <c r="I7">
        <v>333.71</v>
      </c>
      <c r="J7">
        <v>270.25</v>
      </c>
      <c r="K7">
        <v>178.03</v>
      </c>
      <c r="L7">
        <v>292.49</v>
      </c>
      <c r="M7">
        <v>226.75</v>
      </c>
      <c r="N7">
        <v>119.38</v>
      </c>
      <c r="O7">
        <v>342.95</v>
      </c>
    </row>
    <row r="8" spans="1:15" ht="16" x14ac:dyDescent="0.4">
      <c r="A8" s="1">
        <v>44287</v>
      </c>
      <c r="B8" s="6">
        <v>202104</v>
      </c>
      <c r="C8" s="5">
        <v>0</v>
      </c>
      <c r="D8" s="5">
        <f t="shared" si="0"/>
        <v>0</v>
      </c>
      <c r="E8">
        <v>390.82</v>
      </c>
      <c r="F8">
        <v>371.31</v>
      </c>
      <c r="G8">
        <v>36.1</v>
      </c>
      <c r="H8">
        <v>128.16</v>
      </c>
      <c r="I8">
        <v>352.28</v>
      </c>
      <c r="J8">
        <v>288.35000000000002</v>
      </c>
      <c r="K8">
        <v>174.17</v>
      </c>
      <c r="L8">
        <v>322.82</v>
      </c>
      <c r="M8">
        <v>242.53</v>
      </c>
      <c r="N8">
        <v>117.61</v>
      </c>
      <c r="O8">
        <v>368.89</v>
      </c>
    </row>
    <row r="9" spans="1:15" ht="16" x14ac:dyDescent="0.4">
      <c r="A9" s="1">
        <v>44317</v>
      </c>
      <c r="B9" s="6">
        <v>202105</v>
      </c>
      <c r="C9" s="5">
        <v>0</v>
      </c>
      <c r="D9" s="5">
        <f t="shared" si="0"/>
        <v>0</v>
      </c>
      <c r="E9">
        <v>393.38</v>
      </c>
      <c r="F9">
        <v>350.85</v>
      </c>
      <c r="G9">
        <v>37.75</v>
      </c>
      <c r="H9">
        <v>121.48</v>
      </c>
      <c r="I9">
        <v>358.89</v>
      </c>
      <c r="J9">
        <v>284.11</v>
      </c>
      <c r="K9">
        <v>190.34</v>
      </c>
      <c r="L9">
        <v>326.45</v>
      </c>
      <c r="M9">
        <v>240.13</v>
      </c>
      <c r="N9">
        <v>119.63</v>
      </c>
      <c r="O9">
        <v>381.03</v>
      </c>
    </row>
    <row r="10" spans="1:15" ht="16" x14ac:dyDescent="0.4">
      <c r="A10" s="1">
        <v>44348</v>
      </c>
      <c r="B10" s="6">
        <v>202106</v>
      </c>
      <c r="C10" s="5">
        <v>0</v>
      </c>
      <c r="D10" s="5">
        <f t="shared" si="0"/>
        <v>0</v>
      </c>
      <c r="E10">
        <v>400.89</v>
      </c>
      <c r="F10">
        <v>355.24</v>
      </c>
      <c r="G10">
        <v>36.72</v>
      </c>
      <c r="H10">
        <v>133.75</v>
      </c>
      <c r="I10">
        <v>375.4</v>
      </c>
      <c r="J10">
        <v>284.08999999999997</v>
      </c>
      <c r="K10">
        <v>219.69</v>
      </c>
      <c r="L10">
        <v>345.3</v>
      </c>
      <c r="M10">
        <v>261.14</v>
      </c>
      <c r="N10">
        <v>119.7</v>
      </c>
      <c r="O10">
        <v>370.41</v>
      </c>
    </row>
    <row r="11" spans="1:15" ht="16" x14ac:dyDescent="0.4">
      <c r="A11" s="1">
        <v>44378</v>
      </c>
      <c r="B11" s="6">
        <v>202107</v>
      </c>
      <c r="C11" s="5">
        <v>0</v>
      </c>
      <c r="D11" s="5">
        <f t="shared" si="0"/>
        <v>0</v>
      </c>
      <c r="E11">
        <v>412.02</v>
      </c>
      <c r="F11">
        <v>375.52</v>
      </c>
      <c r="G11">
        <v>34.31</v>
      </c>
      <c r="H11">
        <v>142.44</v>
      </c>
      <c r="I11">
        <v>407.71</v>
      </c>
      <c r="J11">
        <v>293.91000000000003</v>
      </c>
      <c r="K11">
        <v>233.07</v>
      </c>
      <c r="L11">
        <v>353.83</v>
      </c>
      <c r="M11">
        <v>274.64</v>
      </c>
      <c r="N11">
        <v>126.17</v>
      </c>
      <c r="O11">
        <v>382.71</v>
      </c>
    </row>
    <row r="12" spans="1:15" ht="16" x14ac:dyDescent="0.4">
      <c r="A12" s="1">
        <v>44409</v>
      </c>
      <c r="B12" s="6">
        <v>202108</v>
      </c>
      <c r="C12" s="5">
        <v>0</v>
      </c>
      <c r="D12" s="5">
        <f t="shared" si="0"/>
        <v>0</v>
      </c>
      <c r="E12">
        <v>424.28</v>
      </c>
      <c r="F12">
        <v>337.28</v>
      </c>
      <c r="G12">
        <v>37.340000000000003</v>
      </c>
      <c r="H12">
        <v>148.27000000000001</v>
      </c>
      <c r="I12">
        <v>432.97</v>
      </c>
      <c r="J12">
        <v>292.11</v>
      </c>
      <c r="K12">
        <v>247.22</v>
      </c>
      <c r="L12">
        <v>376.75</v>
      </c>
      <c r="M12">
        <v>291</v>
      </c>
      <c r="N12">
        <v>127.11</v>
      </c>
      <c r="O12">
        <v>386.47</v>
      </c>
    </row>
    <row r="13" spans="1:15" ht="16" x14ac:dyDescent="0.4">
      <c r="A13" s="1">
        <v>44440</v>
      </c>
      <c r="B13" s="6">
        <v>202109</v>
      </c>
      <c r="C13" s="5">
        <v>0</v>
      </c>
      <c r="D13" s="5">
        <f t="shared" si="0"/>
        <v>0</v>
      </c>
      <c r="E13">
        <v>403.22</v>
      </c>
      <c r="F13">
        <v>338.69</v>
      </c>
      <c r="G13">
        <v>37.97</v>
      </c>
      <c r="H13">
        <v>138.38999999999999</v>
      </c>
      <c r="I13">
        <v>427.13</v>
      </c>
      <c r="J13">
        <v>293.97000000000003</v>
      </c>
      <c r="K13">
        <v>221.86</v>
      </c>
      <c r="L13">
        <v>337.04</v>
      </c>
      <c r="M13">
        <v>272.27999999999997</v>
      </c>
      <c r="N13">
        <v>124.8</v>
      </c>
      <c r="O13">
        <v>362.76</v>
      </c>
    </row>
    <row r="14" spans="1:15" ht="16" x14ac:dyDescent="0.4">
      <c r="A14" s="1">
        <v>44470</v>
      </c>
      <c r="B14" s="6">
        <v>202110</v>
      </c>
      <c r="C14" s="5">
        <v>0</v>
      </c>
      <c r="D14" s="5">
        <f t="shared" si="0"/>
        <v>0</v>
      </c>
      <c r="E14">
        <v>432.89</v>
      </c>
      <c r="F14">
        <v>326.85000000000002</v>
      </c>
      <c r="G14">
        <v>42.95</v>
      </c>
      <c r="H14">
        <v>146.51</v>
      </c>
      <c r="I14">
        <v>467.24</v>
      </c>
      <c r="J14">
        <v>334.6</v>
      </c>
      <c r="K14">
        <v>244.63</v>
      </c>
      <c r="L14">
        <v>321.33</v>
      </c>
      <c r="M14">
        <v>320.27999999999997</v>
      </c>
      <c r="N14">
        <v>127.65</v>
      </c>
      <c r="O14">
        <v>429</v>
      </c>
    </row>
    <row r="15" spans="1:15" ht="16" x14ac:dyDescent="0.4">
      <c r="A15" s="1">
        <v>44501</v>
      </c>
      <c r="B15" s="6">
        <v>202111</v>
      </c>
      <c r="C15" s="5">
        <v>0</v>
      </c>
      <c r="D15" s="5">
        <f t="shared" si="0"/>
        <v>0</v>
      </c>
      <c r="E15">
        <v>429.41</v>
      </c>
      <c r="F15">
        <v>307.17</v>
      </c>
      <c r="G15">
        <v>39.979999999999997</v>
      </c>
      <c r="H15">
        <v>161.66999999999999</v>
      </c>
      <c r="I15">
        <v>513.54</v>
      </c>
      <c r="J15">
        <v>360.59</v>
      </c>
      <c r="K15">
        <v>238.18</v>
      </c>
      <c r="L15">
        <v>322.20999999999998</v>
      </c>
      <c r="M15">
        <v>319.29000000000002</v>
      </c>
      <c r="N15">
        <v>129.87</v>
      </c>
      <c r="O15">
        <v>413.86</v>
      </c>
    </row>
    <row r="16" spans="1:15" ht="16" x14ac:dyDescent="0.4">
      <c r="A16" s="1">
        <v>44531</v>
      </c>
      <c r="B16" s="6">
        <v>202112</v>
      </c>
      <c r="C16" s="5">
        <v>0.12</v>
      </c>
      <c r="D16" s="5">
        <f t="shared" si="0"/>
        <v>0.01</v>
      </c>
      <c r="E16">
        <v>447.7</v>
      </c>
      <c r="F16">
        <v>350.48</v>
      </c>
      <c r="G16">
        <v>40</v>
      </c>
      <c r="H16">
        <v>173.92</v>
      </c>
      <c r="I16">
        <v>540.5</v>
      </c>
      <c r="J16">
        <v>373.55</v>
      </c>
      <c r="K16">
        <v>266.10000000000002</v>
      </c>
      <c r="L16">
        <v>334.02</v>
      </c>
      <c r="M16">
        <v>325.42</v>
      </c>
      <c r="N16">
        <v>146.93</v>
      </c>
      <c r="O16">
        <v>467.82</v>
      </c>
    </row>
    <row r="17" spans="1:15" ht="16" x14ac:dyDescent="0.4">
      <c r="A17" s="1">
        <v>44562</v>
      </c>
      <c r="B17" s="6">
        <v>202201</v>
      </c>
      <c r="C17" s="5">
        <v>0</v>
      </c>
      <c r="D17" s="5">
        <f t="shared" si="0"/>
        <v>0</v>
      </c>
      <c r="E17">
        <v>425.58</v>
      </c>
      <c r="F17">
        <v>376.87</v>
      </c>
      <c r="G17">
        <v>41.68</v>
      </c>
      <c r="H17">
        <v>171.19</v>
      </c>
      <c r="I17">
        <v>480.93</v>
      </c>
      <c r="J17">
        <v>331.69</v>
      </c>
      <c r="K17">
        <v>236.4</v>
      </c>
      <c r="L17">
        <v>311.08999999999997</v>
      </c>
      <c r="M17">
        <v>300.89999999999998</v>
      </c>
      <c r="N17">
        <v>144.12</v>
      </c>
      <c r="O17">
        <v>441.71</v>
      </c>
    </row>
    <row r="18" spans="1:15" ht="16" x14ac:dyDescent="0.4">
      <c r="A18" s="1">
        <v>44593</v>
      </c>
      <c r="B18" s="6">
        <v>202202</v>
      </c>
      <c r="C18" s="5">
        <v>0</v>
      </c>
      <c r="D18" s="5">
        <f t="shared" si="0"/>
        <v>0</v>
      </c>
      <c r="E18">
        <v>413.02</v>
      </c>
      <c r="F18">
        <v>352.4</v>
      </c>
      <c r="G18">
        <v>39.93</v>
      </c>
      <c r="H18">
        <v>161.72999999999999</v>
      </c>
      <c r="I18">
        <v>494.38</v>
      </c>
      <c r="J18">
        <v>285.45999999999998</v>
      </c>
      <c r="K18">
        <v>240.79</v>
      </c>
      <c r="L18">
        <v>209.57</v>
      </c>
      <c r="M18">
        <v>289.10000000000002</v>
      </c>
      <c r="N18">
        <v>140.78</v>
      </c>
      <c r="O18">
        <v>444.79</v>
      </c>
    </row>
    <row r="19" spans="1:15" ht="16" x14ac:dyDescent="0.4">
      <c r="A19" s="1">
        <v>44621</v>
      </c>
      <c r="B19" s="6">
        <v>202203</v>
      </c>
      <c r="C19" s="5">
        <v>0</v>
      </c>
      <c r="D19" s="5">
        <f t="shared" si="0"/>
        <v>0</v>
      </c>
      <c r="E19">
        <v>427.22</v>
      </c>
      <c r="F19">
        <v>349.04</v>
      </c>
      <c r="G19">
        <v>37.229999999999997</v>
      </c>
      <c r="H19">
        <v>171.24</v>
      </c>
      <c r="I19">
        <v>549.09</v>
      </c>
      <c r="J19">
        <v>270.54000000000002</v>
      </c>
      <c r="K19">
        <v>277.02999999999997</v>
      </c>
      <c r="L19">
        <v>220.82</v>
      </c>
      <c r="M19">
        <v>298.93</v>
      </c>
      <c r="N19">
        <v>137.99</v>
      </c>
      <c r="O19">
        <v>476.67</v>
      </c>
    </row>
    <row r="20" spans="1:15" ht="16" x14ac:dyDescent="0.4">
      <c r="A20" s="1">
        <v>44652</v>
      </c>
      <c r="B20" s="6">
        <v>202204</v>
      </c>
      <c r="C20" s="5">
        <v>0</v>
      </c>
      <c r="D20" s="5">
        <f t="shared" si="0"/>
        <v>0</v>
      </c>
      <c r="E20">
        <v>390.93</v>
      </c>
      <c r="F20">
        <v>354.9</v>
      </c>
      <c r="G20">
        <v>32.39</v>
      </c>
      <c r="H20">
        <v>154.61000000000001</v>
      </c>
      <c r="I20">
        <v>507.01</v>
      </c>
      <c r="J20">
        <v>273.14999999999998</v>
      </c>
      <c r="K20">
        <v>282.60000000000002</v>
      </c>
      <c r="L20">
        <v>199.08</v>
      </c>
      <c r="M20">
        <v>269.08</v>
      </c>
      <c r="N20">
        <v>144.99</v>
      </c>
      <c r="O20">
        <v>476.75</v>
      </c>
    </row>
    <row r="21" spans="1:15" ht="16" x14ac:dyDescent="0.4">
      <c r="A21" s="1">
        <v>44682</v>
      </c>
      <c r="B21" s="6">
        <v>202205</v>
      </c>
      <c r="C21" s="5">
        <v>0.36</v>
      </c>
      <c r="D21" s="5">
        <f t="shared" si="0"/>
        <v>0.03</v>
      </c>
      <c r="E21">
        <v>391.81</v>
      </c>
      <c r="F21">
        <v>350</v>
      </c>
      <c r="G21">
        <v>33.770000000000003</v>
      </c>
      <c r="H21">
        <v>145.97</v>
      </c>
      <c r="I21">
        <v>445.28</v>
      </c>
      <c r="J21">
        <v>275.27999999999997</v>
      </c>
      <c r="K21">
        <v>303.22000000000003</v>
      </c>
      <c r="L21">
        <v>192.3</v>
      </c>
      <c r="M21">
        <v>263.60000000000002</v>
      </c>
      <c r="N21">
        <v>134.30000000000001</v>
      </c>
      <c r="O21">
        <v>465.71</v>
      </c>
    </row>
    <row r="22" spans="1:15" ht="16" x14ac:dyDescent="0.4">
      <c r="A22" s="1">
        <v>44713</v>
      </c>
      <c r="B22" s="6">
        <v>202206</v>
      </c>
      <c r="C22" s="5">
        <v>0.72</v>
      </c>
      <c r="D22" s="5">
        <f t="shared" si="0"/>
        <v>0.06</v>
      </c>
      <c r="E22">
        <v>357.96</v>
      </c>
      <c r="F22">
        <v>308.55</v>
      </c>
      <c r="G22">
        <v>28.26</v>
      </c>
      <c r="H22">
        <v>134.28</v>
      </c>
      <c r="I22">
        <v>457.76</v>
      </c>
      <c r="J22">
        <v>249.39</v>
      </c>
      <c r="K22">
        <v>314.70999999999998</v>
      </c>
      <c r="L22">
        <v>160.13</v>
      </c>
      <c r="M22">
        <v>249.6</v>
      </c>
      <c r="N22">
        <v>130.58000000000001</v>
      </c>
      <c r="O22">
        <v>481.51</v>
      </c>
    </row>
    <row r="23" spans="1:15" ht="16" x14ac:dyDescent="0.4">
      <c r="A23" s="1">
        <v>44743</v>
      </c>
      <c r="B23" s="6">
        <v>202207</v>
      </c>
      <c r="C23" s="5">
        <v>0.96</v>
      </c>
      <c r="D23" s="5">
        <f t="shared" si="0"/>
        <v>0.08</v>
      </c>
      <c r="E23">
        <v>392.61</v>
      </c>
      <c r="F23">
        <v>346.01</v>
      </c>
      <c r="G23">
        <v>30.87</v>
      </c>
      <c r="H23">
        <v>159.61000000000001</v>
      </c>
      <c r="I23">
        <v>516.99</v>
      </c>
      <c r="J23">
        <v>275.37</v>
      </c>
      <c r="K23">
        <v>320.01</v>
      </c>
      <c r="L23">
        <v>158</v>
      </c>
      <c r="M23">
        <v>272.83</v>
      </c>
      <c r="N23">
        <v>126.15</v>
      </c>
      <c r="O23">
        <v>510.24</v>
      </c>
    </row>
    <row r="24" spans="1:15" ht="16" x14ac:dyDescent="0.4">
      <c r="A24" s="1">
        <v>44774</v>
      </c>
      <c r="B24" s="6">
        <v>202208</v>
      </c>
      <c r="C24" s="5">
        <v>2.2800000000000002</v>
      </c>
      <c r="D24" s="5">
        <f t="shared" si="0"/>
        <v>0.19000000000000003</v>
      </c>
      <c r="E24">
        <v>376.59</v>
      </c>
      <c r="F24">
        <v>317.73</v>
      </c>
      <c r="G24">
        <v>30.68</v>
      </c>
      <c r="H24">
        <v>154.41</v>
      </c>
      <c r="I24">
        <v>499.51</v>
      </c>
      <c r="J24">
        <v>263.91000000000003</v>
      </c>
      <c r="K24">
        <v>292.39</v>
      </c>
      <c r="L24">
        <v>161.80000000000001</v>
      </c>
      <c r="M24">
        <v>254.11</v>
      </c>
      <c r="N24">
        <v>126.08</v>
      </c>
      <c r="O24">
        <v>488.59</v>
      </c>
    </row>
    <row r="25" spans="1:15" ht="16" x14ac:dyDescent="0.4">
      <c r="A25" s="1">
        <v>44805</v>
      </c>
      <c r="B25" s="6">
        <v>202209</v>
      </c>
      <c r="C25" s="5">
        <v>2.2800000000000002</v>
      </c>
      <c r="D25" s="5">
        <f t="shared" si="0"/>
        <v>0.19000000000000003</v>
      </c>
      <c r="E25">
        <v>340.38</v>
      </c>
      <c r="F25">
        <v>278.52</v>
      </c>
      <c r="G25">
        <v>27.57</v>
      </c>
      <c r="H25">
        <v>135.91999999999999</v>
      </c>
      <c r="I25">
        <v>451.84</v>
      </c>
      <c r="J25">
        <v>254.14</v>
      </c>
      <c r="K25">
        <v>314.88</v>
      </c>
      <c r="L25">
        <v>134.74</v>
      </c>
      <c r="M25">
        <v>226.82</v>
      </c>
      <c r="N25">
        <v>115.4</v>
      </c>
      <c r="O25">
        <v>475.15</v>
      </c>
    </row>
    <row r="26" spans="1:15" ht="16" x14ac:dyDescent="0.4">
      <c r="A26" s="1">
        <v>44835</v>
      </c>
      <c r="B26" s="6">
        <v>202210</v>
      </c>
      <c r="C26" s="5">
        <v>2.7600000000000002</v>
      </c>
      <c r="D26" s="5">
        <f t="shared" si="0"/>
        <v>0.23</v>
      </c>
      <c r="E26">
        <v>369.55</v>
      </c>
      <c r="F26">
        <v>321.45999999999998</v>
      </c>
      <c r="G26">
        <v>33.119999999999997</v>
      </c>
      <c r="H26">
        <v>150.81</v>
      </c>
      <c r="I26">
        <v>479.8</v>
      </c>
      <c r="J26">
        <v>272.73</v>
      </c>
      <c r="K26">
        <v>352.61</v>
      </c>
      <c r="L26">
        <v>92.51</v>
      </c>
      <c r="M26">
        <v>226.07</v>
      </c>
      <c r="N26">
        <v>123.09</v>
      </c>
      <c r="O26">
        <v>523.92999999999995</v>
      </c>
    </row>
    <row r="27" spans="1:15" ht="16" x14ac:dyDescent="0.4">
      <c r="A27" s="1">
        <v>44866</v>
      </c>
      <c r="B27" s="6">
        <v>202211</v>
      </c>
      <c r="C27" s="5">
        <v>3.4799999999999995</v>
      </c>
      <c r="D27" s="5">
        <f t="shared" si="0"/>
        <v>0.28999999999999998</v>
      </c>
      <c r="E27">
        <v>390.1</v>
      </c>
      <c r="F27">
        <v>349.66</v>
      </c>
      <c r="G27">
        <v>34.78</v>
      </c>
      <c r="H27">
        <v>145.59</v>
      </c>
      <c r="I27">
        <v>516.85</v>
      </c>
      <c r="J27">
        <v>298.39</v>
      </c>
      <c r="K27">
        <v>361.36</v>
      </c>
      <c r="L27">
        <v>117.28</v>
      </c>
      <c r="M27">
        <v>248.48</v>
      </c>
      <c r="N27">
        <v>137.31</v>
      </c>
      <c r="O27">
        <v>516.95000000000005</v>
      </c>
    </row>
    <row r="28" spans="1:15" ht="16" x14ac:dyDescent="0.4">
      <c r="A28" s="1">
        <v>44896</v>
      </c>
      <c r="B28" s="6">
        <v>202212</v>
      </c>
      <c r="C28" s="5">
        <v>3.96</v>
      </c>
      <c r="D28" s="5">
        <f t="shared" si="0"/>
        <v>0.33</v>
      </c>
      <c r="E28">
        <v>365.94</v>
      </c>
      <c r="F28">
        <v>341.16</v>
      </c>
      <c r="G28">
        <v>30.44</v>
      </c>
      <c r="H28">
        <v>128</v>
      </c>
      <c r="I28">
        <v>437.54</v>
      </c>
      <c r="J28">
        <v>292.66000000000003</v>
      </c>
      <c r="K28">
        <v>357.25</v>
      </c>
      <c r="L28">
        <v>119.51</v>
      </c>
      <c r="M28">
        <v>234.22</v>
      </c>
      <c r="N28">
        <v>139.51</v>
      </c>
      <c r="O28">
        <v>500.36</v>
      </c>
    </row>
    <row r="29" spans="1:15" ht="16" x14ac:dyDescent="0.4">
      <c r="A29" s="1">
        <v>44927</v>
      </c>
      <c r="B29" s="6">
        <v>202301</v>
      </c>
      <c r="C29" s="5">
        <v>4.1999999999999993</v>
      </c>
      <c r="D29" s="5">
        <f t="shared" si="0"/>
        <v>0.34999999999999992</v>
      </c>
      <c r="E29">
        <v>390.74</v>
      </c>
      <c r="F29">
        <v>363.6</v>
      </c>
      <c r="G29">
        <v>32.799999999999997</v>
      </c>
      <c r="H29">
        <v>142.15</v>
      </c>
      <c r="I29">
        <v>489.91</v>
      </c>
      <c r="J29">
        <v>300.36</v>
      </c>
      <c r="K29">
        <v>336.07</v>
      </c>
      <c r="L29">
        <v>147.94</v>
      </c>
      <c r="M29">
        <v>242.02</v>
      </c>
      <c r="N29">
        <v>131.06</v>
      </c>
      <c r="O29">
        <v>472.57</v>
      </c>
    </row>
    <row r="30" spans="1:15" ht="16" x14ac:dyDescent="0.4">
      <c r="A30" s="1">
        <v>44958</v>
      </c>
      <c r="B30" s="6">
        <v>202302</v>
      </c>
      <c r="C30" s="5">
        <v>4.08</v>
      </c>
      <c r="D30" s="5">
        <f t="shared" si="0"/>
        <v>0.34</v>
      </c>
      <c r="E30">
        <v>380.91</v>
      </c>
      <c r="F30">
        <v>349.14</v>
      </c>
      <c r="G30">
        <v>31.7</v>
      </c>
      <c r="H30">
        <v>145.22</v>
      </c>
      <c r="I30">
        <v>464.07</v>
      </c>
      <c r="J30">
        <v>274.76</v>
      </c>
      <c r="K30">
        <v>303.92</v>
      </c>
      <c r="L30">
        <v>173.73</v>
      </c>
      <c r="M30">
        <v>243.6</v>
      </c>
      <c r="N30">
        <v>127.42</v>
      </c>
      <c r="O30">
        <v>450.56</v>
      </c>
    </row>
    <row r="31" spans="1:15" ht="16" x14ac:dyDescent="0.4">
      <c r="A31" s="1">
        <v>44986</v>
      </c>
      <c r="B31" s="6">
        <v>202303</v>
      </c>
      <c r="C31" s="5">
        <v>4.32</v>
      </c>
      <c r="D31" s="5">
        <f t="shared" si="0"/>
        <v>0.36000000000000004</v>
      </c>
      <c r="E31">
        <v>393.53</v>
      </c>
      <c r="F31">
        <v>357.12</v>
      </c>
      <c r="G31">
        <v>26.44</v>
      </c>
      <c r="H31">
        <v>162.69999999999999</v>
      </c>
      <c r="I31">
        <v>477.06</v>
      </c>
      <c r="J31">
        <v>273.45</v>
      </c>
      <c r="K31">
        <v>336.44</v>
      </c>
      <c r="L31">
        <v>210.47</v>
      </c>
      <c r="M31">
        <v>282.27</v>
      </c>
      <c r="N31">
        <v>137.72999999999999</v>
      </c>
      <c r="O31">
        <v>447.39</v>
      </c>
    </row>
    <row r="32" spans="1:15" ht="16" x14ac:dyDescent="0.4">
      <c r="A32" s="1">
        <v>45017</v>
      </c>
      <c r="B32" s="6">
        <v>202304</v>
      </c>
      <c r="C32" s="5">
        <v>4.1999999999999993</v>
      </c>
      <c r="D32" s="5">
        <f t="shared" si="0"/>
        <v>0.34999999999999992</v>
      </c>
      <c r="E32">
        <v>401.35</v>
      </c>
      <c r="F32">
        <v>373.45</v>
      </c>
      <c r="G32">
        <v>27.24</v>
      </c>
      <c r="H32">
        <v>167.41</v>
      </c>
      <c r="I32">
        <v>483.16</v>
      </c>
      <c r="J32">
        <v>280.49</v>
      </c>
      <c r="K32">
        <v>387.82</v>
      </c>
      <c r="L32">
        <v>238.65</v>
      </c>
      <c r="M32">
        <v>300.83999999999997</v>
      </c>
      <c r="N32">
        <v>144.85</v>
      </c>
      <c r="O32">
        <v>467.51</v>
      </c>
    </row>
    <row r="33" spans="1:15" ht="16" x14ac:dyDescent="0.4">
      <c r="A33" s="1">
        <v>45047</v>
      </c>
      <c r="B33" s="6">
        <v>202305</v>
      </c>
      <c r="C33" s="5">
        <v>4.32</v>
      </c>
      <c r="D33" s="5">
        <f t="shared" si="0"/>
        <v>0.36000000000000004</v>
      </c>
      <c r="E33">
        <v>403.2</v>
      </c>
      <c r="F33">
        <v>359.27</v>
      </c>
      <c r="G33">
        <v>25.85</v>
      </c>
      <c r="H33">
        <v>174.88</v>
      </c>
      <c r="I33">
        <v>491.17</v>
      </c>
      <c r="J33">
        <v>264.54000000000002</v>
      </c>
      <c r="K33">
        <v>420.74</v>
      </c>
      <c r="L33">
        <v>262.88</v>
      </c>
      <c r="M33">
        <v>321.52999999999997</v>
      </c>
      <c r="N33">
        <v>132.82</v>
      </c>
      <c r="O33">
        <v>462.9</v>
      </c>
    </row>
    <row r="34" spans="1:15" ht="16" x14ac:dyDescent="0.4">
      <c r="A34" s="1">
        <v>45078</v>
      </c>
      <c r="B34" s="6">
        <v>202306</v>
      </c>
      <c r="C34" s="5">
        <v>4.8000000000000007</v>
      </c>
      <c r="D34" s="5">
        <f t="shared" si="0"/>
        <v>0.40000000000000008</v>
      </c>
      <c r="E34">
        <v>427.74</v>
      </c>
      <c r="F34">
        <v>387.1</v>
      </c>
      <c r="G34">
        <v>26.69</v>
      </c>
      <c r="H34">
        <v>191.64</v>
      </c>
      <c r="I34">
        <v>517.99</v>
      </c>
      <c r="J34">
        <v>292</v>
      </c>
      <c r="K34">
        <v>460.65</v>
      </c>
      <c r="L34">
        <v>284.99</v>
      </c>
      <c r="M34">
        <v>334.15</v>
      </c>
      <c r="N34">
        <v>141.44</v>
      </c>
      <c r="O34">
        <v>456.63</v>
      </c>
    </row>
    <row r="35" spans="1:15" ht="16" x14ac:dyDescent="0.4">
      <c r="A35" s="1">
        <v>45108</v>
      </c>
      <c r="B35" s="6">
        <v>202307</v>
      </c>
      <c r="C35" s="5">
        <v>5.4</v>
      </c>
      <c r="D35" s="5">
        <f t="shared" si="0"/>
        <v>0.45</v>
      </c>
      <c r="E35">
        <v>443.38</v>
      </c>
      <c r="F35">
        <v>388.06</v>
      </c>
      <c r="G35">
        <v>30.01</v>
      </c>
      <c r="H35">
        <v>194.09</v>
      </c>
      <c r="I35">
        <v>539.44000000000005</v>
      </c>
      <c r="J35">
        <v>313.81</v>
      </c>
      <c r="K35">
        <v>446.48</v>
      </c>
      <c r="L35">
        <v>316.39</v>
      </c>
      <c r="M35">
        <v>329.62</v>
      </c>
      <c r="N35">
        <v>145.69</v>
      </c>
      <c r="O35">
        <v>483.05</v>
      </c>
    </row>
    <row r="36" spans="1:15" ht="16" x14ac:dyDescent="0.4">
      <c r="A36" s="1">
        <v>45139</v>
      </c>
      <c r="B36" s="6">
        <v>202308</v>
      </c>
      <c r="C36" s="5">
        <v>5.4</v>
      </c>
      <c r="D36" s="5">
        <f t="shared" si="0"/>
        <v>0.45</v>
      </c>
      <c r="E36">
        <v>436.17</v>
      </c>
      <c r="F36">
        <v>406.72</v>
      </c>
      <c r="G36">
        <v>26.89</v>
      </c>
      <c r="H36">
        <v>185.62</v>
      </c>
      <c r="I36">
        <v>528.48</v>
      </c>
      <c r="J36">
        <v>310.48</v>
      </c>
      <c r="K36">
        <v>544.36</v>
      </c>
      <c r="L36">
        <v>293.83999999999997</v>
      </c>
      <c r="M36">
        <v>321.61</v>
      </c>
      <c r="N36">
        <v>144.77000000000001</v>
      </c>
      <c r="O36">
        <v>454.63</v>
      </c>
    </row>
    <row r="37" spans="1:15" ht="16" x14ac:dyDescent="0.4">
      <c r="A37" s="1">
        <v>45170</v>
      </c>
      <c r="B37" s="6">
        <v>202309</v>
      </c>
      <c r="C37" s="5">
        <v>5.16</v>
      </c>
      <c r="D37" s="5">
        <f t="shared" si="0"/>
        <v>0.43</v>
      </c>
      <c r="E37">
        <v>414.02</v>
      </c>
      <c r="F37">
        <v>390.23</v>
      </c>
      <c r="G37">
        <v>25.89</v>
      </c>
      <c r="H37">
        <v>169.39</v>
      </c>
      <c r="I37">
        <v>544.6</v>
      </c>
      <c r="J37">
        <v>285.83999999999997</v>
      </c>
      <c r="K37">
        <v>528.72</v>
      </c>
      <c r="L37">
        <v>298.13</v>
      </c>
      <c r="M37">
        <v>310.48</v>
      </c>
      <c r="N37">
        <v>136.81</v>
      </c>
      <c r="O37">
        <v>480.97</v>
      </c>
    </row>
    <row r="38" spans="1:15" ht="16" x14ac:dyDescent="0.4">
      <c r="A38" s="1">
        <v>45200</v>
      </c>
      <c r="B38" s="6">
        <v>202310</v>
      </c>
      <c r="C38" s="5">
        <v>5.64</v>
      </c>
      <c r="D38" s="5">
        <f t="shared" si="0"/>
        <v>0.47</v>
      </c>
      <c r="E38">
        <v>406.46</v>
      </c>
      <c r="F38">
        <v>370.95</v>
      </c>
      <c r="G38">
        <v>24.91</v>
      </c>
      <c r="H38">
        <v>168.95</v>
      </c>
      <c r="I38">
        <v>532.53</v>
      </c>
      <c r="J38">
        <v>269.32</v>
      </c>
      <c r="K38">
        <v>545.26</v>
      </c>
      <c r="L38">
        <v>299.18</v>
      </c>
      <c r="M38">
        <v>332.47</v>
      </c>
      <c r="N38">
        <v>140.72</v>
      </c>
      <c r="O38">
        <v>512.88</v>
      </c>
    </row>
    <row r="39" spans="1:15" ht="16" x14ac:dyDescent="0.4">
      <c r="A39" s="1">
        <v>45231</v>
      </c>
      <c r="B39" s="6">
        <v>202311</v>
      </c>
      <c r="C39" s="5">
        <v>5.28</v>
      </c>
      <c r="D39" s="5">
        <f t="shared" si="0"/>
        <v>0.44</v>
      </c>
      <c r="E39">
        <v>443.59</v>
      </c>
      <c r="F39">
        <v>408.49</v>
      </c>
      <c r="G39">
        <v>28.83</v>
      </c>
      <c r="H39">
        <v>187.93</v>
      </c>
      <c r="I39">
        <v>571.37</v>
      </c>
      <c r="J39">
        <v>296.56</v>
      </c>
      <c r="K39">
        <v>581.79</v>
      </c>
      <c r="L39">
        <v>324.88</v>
      </c>
      <c r="M39">
        <v>372.59</v>
      </c>
      <c r="N39">
        <v>144.91</v>
      </c>
      <c r="O39">
        <v>529.54999999999995</v>
      </c>
    </row>
    <row r="40" spans="1:15" ht="16" x14ac:dyDescent="0.4">
      <c r="A40" s="1">
        <v>45261</v>
      </c>
      <c r="B40" s="6">
        <v>202312</v>
      </c>
      <c r="C40" s="5">
        <v>5.16</v>
      </c>
      <c r="D40" s="5">
        <f t="shared" si="0"/>
        <v>0.43</v>
      </c>
      <c r="E40">
        <v>461.97</v>
      </c>
      <c r="F40">
        <v>421</v>
      </c>
      <c r="G40">
        <v>32.090000000000003</v>
      </c>
      <c r="H40">
        <v>190.73</v>
      </c>
      <c r="I40">
        <v>637.45000000000005</v>
      </c>
      <c r="J40">
        <v>330.04</v>
      </c>
      <c r="K40">
        <v>574.85</v>
      </c>
      <c r="L40">
        <v>351.5</v>
      </c>
      <c r="M40">
        <v>370.52</v>
      </c>
      <c r="N40">
        <v>138.32</v>
      </c>
      <c r="O40">
        <v>504.18</v>
      </c>
    </row>
    <row r="41" spans="1:15" ht="16" x14ac:dyDescent="0.4">
      <c r="A41" s="1">
        <v>45292</v>
      </c>
      <c r="B41" s="6">
        <v>202401</v>
      </c>
      <c r="C41" s="5">
        <v>5.64</v>
      </c>
      <c r="D41" s="5">
        <f t="shared" si="0"/>
        <v>0.47</v>
      </c>
      <c r="E41">
        <v>471.23</v>
      </c>
      <c r="F41">
        <v>443.43</v>
      </c>
      <c r="G41">
        <v>32.42</v>
      </c>
      <c r="H41">
        <v>182.67</v>
      </c>
      <c r="I41">
        <v>686.32</v>
      </c>
      <c r="J41">
        <v>336.14</v>
      </c>
      <c r="K41">
        <v>636.66999999999996</v>
      </c>
      <c r="L41">
        <v>387.43</v>
      </c>
      <c r="M41">
        <v>391.74</v>
      </c>
      <c r="N41">
        <v>148.32</v>
      </c>
      <c r="O41">
        <v>491.74</v>
      </c>
    </row>
    <row r="42" spans="1:15" ht="16" x14ac:dyDescent="0.4">
      <c r="A42" s="1">
        <v>45323</v>
      </c>
      <c r="B42" s="6">
        <v>202402</v>
      </c>
      <c r="C42" s="5">
        <v>5.04</v>
      </c>
      <c r="D42" s="5">
        <f t="shared" si="0"/>
        <v>0.42</v>
      </c>
      <c r="E42">
        <v>495.82</v>
      </c>
      <c r="F42">
        <v>469.37</v>
      </c>
      <c r="G42">
        <v>32.9</v>
      </c>
      <c r="H42">
        <v>179.06</v>
      </c>
      <c r="I42">
        <v>734.73</v>
      </c>
      <c r="J42">
        <v>362.47</v>
      </c>
      <c r="K42">
        <v>743.25</v>
      </c>
      <c r="L42">
        <v>486.73</v>
      </c>
      <c r="M42">
        <v>407.56</v>
      </c>
      <c r="N42">
        <v>150.97</v>
      </c>
      <c r="O42">
        <v>474.31</v>
      </c>
    </row>
    <row r="43" spans="1:15" ht="16" x14ac:dyDescent="0.4">
      <c r="A43" s="1">
        <v>45352</v>
      </c>
      <c r="B43" s="6">
        <v>202403</v>
      </c>
      <c r="C43" s="5">
        <v>5.16</v>
      </c>
      <c r="D43" s="5">
        <f t="shared" si="0"/>
        <v>0.43</v>
      </c>
      <c r="E43">
        <v>510.45</v>
      </c>
      <c r="F43">
        <v>476.1</v>
      </c>
      <c r="G43">
        <v>36.4</v>
      </c>
      <c r="H43">
        <v>170.09</v>
      </c>
      <c r="I43">
        <v>724.67</v>
      </c>
      <c r="J43">
        <v>365.32</v>
      </c>
      <c r="K43">
        <v>768.54</v>
      </c>
      <c r="L43">
        <v>482.72</v>
      </c>
      <c r="M43">
        <v>415.31</v>
      </c>
      <c r="N43">
        <v>154.11000000000001</v>
      </c>
      <c r="O43">
        <v>475.37</v>
      </c>
    </row>
    <row r="44" spans="1:15" ht="16" x14ac:dyDescent="0.4">
      <c r="A44" s="1">
        <v>45383</v>
      </c>
      <c r="B44" s="6">
        <v>202404</v>
      </c>
      <c r="C44" s="5">
        <v>5.64</v>
      </c>
      <c r="D44" s="5">
        <f t="shared" si="0"/>
        <v>0.47</v>
      </c>
      <c r="E44">
        <v>491.39</v>
      </c>
      <c r="F44">
        <v>446.08</v>
      </c>
      <c r="G44">
        <v>35.520000000000003</v>
      </c>
      <c r="H44">
        <v>168.95</v>
      </c>
      <c r="I44">
        <v>715.05</v>
      </c>
      <c r="J44">
        <v>320.2</v>
      </c>
      <c r="K44">
        <v>771.64</v>
      </c>
      <c r="L44">
        <v>427.64</v>
      </c>
      <c r="M44">
        <v>384.32</v>
      </c>
      <c r="N44">
        <v>155.02000000000001</v>
      </c>
      <c r="O44">
        <v>466.63</v>
      </c>
    </row>
    <row r="45" spans="1:15" ht="16" x14ac:dyDescent="0.4">
      <c r="A45" s="1">
        <v>45413</v>
      </c>
      <c r="B45" s="6">
        <v>202405</v>
      </c>
      <c r="C45" s="5">
        <v>5.28</v>
      </c>
      <c r="D45" s="5">
        <f t="shared" si="0"/>
        <v>0.44</v>
      </c>
      <c r="E45">
        <v>516.25</v>
      </c>
      <c r="F45">
        <v>442.6</v>
      </c>
      <c r="G45">
        <v>38.380000000000003</v>
      </c>
      <c r="H45">
        <v>190.69</v>
      </c>
      <c r="I45">
        <v>802.38</v>
      </c>
      <c r="J45">
        <v>320.82</v>
      </c>
      <c r="K45">
        <v>810.4</v>
      </c>
      <c r="L45">
        <v>464.08</v>
      </c>
      <c r="M45">
        <v>409.79</v>
      </c>
      <c r="N45">
        <v>157.30000000000001</v>
      </c>
      <c r="O45">
        <v>477.89</v>
      </c>
    </row>
    <row r="46" spans="1:15" ht="16" x14ac:dyDescent="0.4">
      <c r="A46" s="1">
        <v>45444</v>
      </c>
      <c r="B46" s="6">
        <v>202406</v>
      </c>
      <c r="C46" s="5">
        <v>4.92</v>
      </c>
      <c r="D46" s="5">
        <f t="shared" si="0"/>
        <v>0.41</v>
      </c>
      <c r="E46">
        <v>532.74</v>
      </c>
      <c r="F46">
        <v>436.75</v>
      </c>
      <c r="G46">
        <v>38.17</v>
      </c>
      <c r="H46">
        <v>209.2</v>
      </c>
      <c r="I46">
        <v>842.1</v>
      </c>
      <c r="J46">
        <v>332.09</v>
      </c>
      <c r="K46">
        <v>895.94</v>
      </c>
      <c r="L46">
        <v>501.25</v>
      </c>
      <c r="M46">
        <v>441.99</v>
      </c>
      <c r="N46">
        <v>157.66</v>
      </c>
      <c r="O46">
        <v>491.29</v>
      </c>
    </row>
    <row r="47" spans="1:15" ht="16" x14ac:dyDescent="0.4">
      <c r="A47" s="1">
        <v>45474</v>
      </c>
      <c r="B47" s="6">
        <v>202407</v>
      </c>
      <c r="C47" s="5">
        <v>5.4</v>
      </c>
      <c r="D47" s="5">
        <f t="shared" si="0"/>
        <v>0.45</v>
      </c>
      <c r="E47">
        <v>540.92999999999995</v>
      </c>
      <c r="F47">
        <v>459.08</v>
      </c>
      <c r="G47">
        <v>38.93</v>
      </c>
      <c r="H47">
        <v>220.58</v>
      </c>
      <c r="I47">
        <v>814.37</v>
      </c>
      <c r="J47">
        <v>355.17</v>
      </c>
      <c r="K47">
        <v>795.88</v>
      </c>
      <c r="L47">
        <v>472.51</v>
      </c>
      <c r="M47">
        <v>413.71</v>
      </c>
      <c r="N47">
        <v>153.68</v>
      </c>
      <c r="O47">
        <v>558.17999999999995</v>
      </c>
    </row>
    <row r="48" spans="1:15" ht="16" x14ac:dyDescent="0.4">
      <c r="A48" s="1">
        <v>45505</v>
      </c>
      <c r="B48" s="6">
        <v>202408</v>
      </c>
      <c r="C48" s="5">
        <v>5.76</v>
      </c>
      <c r="D48" s="5">
        <f t="shared" si="0"/>
        <v>0.48</v>
      </c>
      <c r="E48">
        <v>553.57000000000005</v>
      </c>
      <c r="F48">
        <v>479.22</v>
      </c>
      <c r="G48">
        <v>39.35</v>
      </c>
      <c r="H48">
        <v>227.46</v>
      </c>
      <c r="I48">
        <v>885.36</v>
      </c>
      <c r="J48">
        <v>355.49</v>
      </c>
      <c r="K48">
        <v>950.01</v>
      </c>
      <c r="L48">
        <v>518.76</v>
      </c>
      <c r="M48">
        <v>412.51</v>
      </c>
      <c r="N48">
        <v>164.98</v>
      </c>
      <c r="O48">
        <v>571.79</v>
      </c>
    </row>
    <row r="49" spans="1:15" ht="16" x14ac:dyDescent="0.4">
      <c r="A49" s="1">
        <v>45536</v>
      </c>
      <c r="B49" s="6">
        <v>202409</v>
      </c>
      <c r="C49" s="5">
        <v>4.8000000000000007</v>
      </c>
      <c r="D49" s="5">
        <f t="shared" si="0"/>
        <v>0.40000000000000008</v>
      </c>
      <c r="E49">
        <v>563.47</v>
      </c>
      <c r="F49">
        <v>489.59</v>
      </c>
      <c r="G49">
        <v>38.32</v>
      </c>
      <c r="H49">
        <v>231.7</v>
      </c>
      <c r="I49">
        <v>879.55</v>
      </c>
      <c r="J49">
        <v>393.27</v>
      </c>
      <c r="K49">
        <v>877.93</v>
      </c>
      <c r="L49">
        <v>569.64</v>
      </c>
      <c r="M49">
        <v>426.3</v>
      </c>
      <c r="N49">
        <v>166.57</v>
      </c>
      <c r="O49">
        <v>566.44000000000005</v>
      </c>
    </row>
    <row r="50" spans="1:15" ht="16" x14ac:dyDescent="0.4">
      <c r="A50" s="1">
        <v>45566</v>
      </c>
      <c r="B50" s="6">
        <v>202410</v>
      </c>
      <c r="C50" s="5">
        <v>4.68</v>
      </c>
      <c r="D50" s="5">
        <f t="shared" si="0"/>
        <v>0.38999999999999996</v>
      </c>
      <c r="E50">
        <v>560.15</v>
      </c>
      <c r="F50">
        <v>495.33</v>
      </c>
      <c r="G50">
        <v>40.65</v>
      </c>
      <c r="H50">
        <v>224.65</v>
      </c>
      <c r="I50">
        <v>867.3</v>
      </c>
      <c r="J50">
        <v>382.16</v>
      </c>
      <c r="K50">
        <v>822.24</v>
      </c>
      <c r="L50">
        <v>565.34</v>
      </c>
      <c r="M50">
        <v>402.57</v>
      </c>
      <c r="N50">
        <v>158.86000000000001</v>
      </c>
      <c r="O50">
        <v>548.83000000000004</v>
      </c>
    </row>
    <row r="51" spans="1:15" ht="16" x14ac:dyDescent="0.4">
      <c r="A51" s="1">
        <v>45597</v>
      </c>
      <c r="B51" s="6">
        <v>202411</v>
      </c>
      <c r="C51" s="5">
        <v>4.8000000000000007</v>
      </c>
      <c r="D51" s="5">
        <f t="shared" si="0"/>
        <v>0.40000000000000008</v>
      </c>
      <c r="E51">
        <v>593.55999999999995</v>
      </c>
      <c r="F51">
        <v>529.1</v>
      </c>
      <c r="G51">
        <v>46.18</v>
      </c>
      <c r="H51">
        <v>236</v>
      </c>
      <c r="I51">
        <v>964.23</v>
      </c>
      <c r="J51">
        <v>416.5</v>
      </c>
      <c r="K51">
        <v>788.16</v>
      </c>
      <c r="L51">
        <v>572.04999999999995</v>
      </c>
      <c r="M51">
        <v>419.52</v>
      </c>
      <c r="N51">
        <v>173.41</v>
      </c>
      <c r="O51">
        <v>593.26</v>
      </c>
    </row>
    <row r="52" spans="1:15" ht="16" x14ac:dyDescent="0.4">
      <c r="A52" s="1">
        <v>45627</v>
      </c>
      <c r="B52" s="6">
        <v>202412</v>
      </c>
      <c r="C52" s="5">
        <v>4.4399999999999995</v>
      </c>
      <c r="D52" s="5">
        <f t="shared" si="0"/>
        <v>0.36999999999999994</v>
      </c>
      <c r="E52">
        <v>577.33000000000004</v>
      </c>
      <c r="F52">
        <v>522.78</v>
      </c>
      <c r="G52">
        <v>42.72</v>
      </c>
      <c r="H52">
        <v>249.29</v>
      </c>
      <c r="I52">
        <v>910.27</v>
      </c>
      <c r="J52">
        <v>379.53</v>
      </c>
      <c r="K52">
        <v>766.28</v>
      </c>
      <c r="L52">
        <v>583.20000000000005</v>
      </c>
      <c r="M52">
        <v>418.41</v>
      </c>
      <c r="N52">
        <v>162.18</v>
      </c>
      <c r="O52">
        <v>491.82</v>
      </c>
    </row>
    <row r="53" spans="1:15" ht="16" x14ac:dyDescent="0.4">
      <c r="A53" s="1">
        <v>45658</v>
      </c>
      <c r="B53" s="6">
        <v>202501</v>
      </c>
      <c r="C53" s="5">
        <v>4.4399999999999995</v>
      </c>
      <c r="D53" s="5">
        <f t="shared" si="0"/>
        <v>0.36999999999999994</v>
      </c>
      <c r="E53">
        <v>594.83000000000004</v>
      </c>
      <c r="F53">
        <v>551.42999999999995</v>
      </c>
      <c r="G53">
        <v>45.25</v>
      </c>
      <c r="H53">
        <v>234.94</v>
      </c>
      <c r="I53">
        <v>973.46</v>
      </c>
      <c r="J53">
        <v>401.96</v>
      </c>
      <c r="K53">
        <v>805.08</v>
      </c>
      <c r="L53">
        <v>687.01</v>
      </c>
      <c r="M53">
        <v>412.02</v>
      </c>
      <c r="N53">
        <v>160.58000000000001</v>
      </c>
      <c r="O53">
        <v>529.45000000000005</v>
      </c>
    </row>
    <row r="54" spans="1:15" ht="16" x14ac:dyDescent="0.4">
      <c r="A54" s="1">
        <v>45689</v>
      </c>
      <c r="B54" s="6">
        <v>202502</v>
      </c>
      <c r="C54" s="5">
        <v>3.96</v>
      </c>
      <c r="D54" s="5">
        <f t="shared" si="0"/>
        <v>0.33</v>
      </c>
      <c r="E54">
        <v>587.28</v>
      </c>
      <c r="F54">
        <v>573</v>
      </c>
      <c r="G54">
        <v>45.06</v>
      </c>
      <c r="H54">
        <v>240.75</v>
      </c>
      <c r="I54" s="2">
        <v>1041.74</v>
      </c>
      <c r="J54">
        <v>386.95</v>
      </c>
      <c r="K54">
        <v>913.81</v>
      </c>
      <c r="L54">
        <v>666.1</v>
      </c>
      <c r="M54">
        <v>394.08</v>
      </c>
      <c r="N54">
        <v>169.2</v>
      </c>
      <c r="O54">
        <v>463.54</v>
      </c>
    </row>
    <row r="55" spans="1:15" ht="16" x14ac:dyDescent="0.4">
      <c r="A55" s="1">
        <v>45717</v>
      </c>
      <c r="B55" s="6">
        <v>202503</v>
      </c>
      <c r="C55" s="5">
        <v>4</v>
      </c>
      <c r="D55" s="5">
        <f t="shared" si="0"/>
        <v>0.33333333333333331</v>
      </c>
      <c r="E55">
        <v>552.9</v>
      </c>
      <c r="F55">
        <v>544.97</v>
      </c>
      <c r="G55">
        <v>40.79</v>
      </c>
      <c r="H55">
        <v>221.37</v>
      </c>
      <c r="I55">
        <v>940.62</v>
      </c>
      <c r="J55">
        <v>357.58</v>
      </c>
      <c r="K55">
        <v>821.21</v>
      </c>
      <c r="L55">
        <v>574.54999999999995</v>
      </c>
      <c r="M55">
        <v>373.39</v>
      </c>
      <c r="N55">
        <v>165.87</v>
      </c>
      <c r="O55">
        <v>511.16</v>
      </c>
    </row>
    <row r="56" spans="1:15" ht="16" x14ac:dyDescent="0.4">
      <c r="A56" s="1">
        <v>45748</v>
      </c>
      <c r="B56" s="6">
        <v>202504</v>
      </c>
      <c r="C56" s="5">
        <v>4.04</v>
      </c>
      <c r="D56" s="5">
        <f t="shared" si="0"/>
        <v>0.33666666666666667</v>
      </c>
      <c r="E56">
        <v>549.75</v>
      </c>
      <c r="F56">
        <v>544.91</v>
      </c>
      <c r="G56">
        <v>39.22</v>
      </c>
      <c r="H56">
        <v>211.78</v>
      </c>
      <c r="I56">
        <v>989.08</v>
      </c>
      <c r="J56">
        <v>353.95</v>
      </c>
      <c r="K56">
        <v>893.83</v>
      </c>
      <c r="L56">
        <v>547.76</v>
      </c>
      <c r="M56">
        <v>393.15</v>
      </c>
      <c r="N56">
        <v>158.22999999999999</v>
      </c>
      <c r="O56">
        <v>403.27</v>
      </c>
    </row>
    <row r="57" spans="1:15" ht="16" x14ac:dyDescent="0.4">
      <c r="A57" s="1">
        <v>45778</v>
      </c>
      <c r="B57" s="6">
        <v>202505</v>
      </c>
      <c r="C57" s="5">
        <v>4.17</v>
      </c>
      <c r="D57" s="5">
        <f t="shared" si="0"/>
        <v>0.34749999999999998</v>
      </c>
      <c r="E57">
        <v>584.29999999999995</v>
      </c>
      <c r="F57">
        <v>583.16</v>
      </c>
      <c r="G57">
        <v>43.4</v>
      </c>
      <c r="H57">
        <v>200.17</v>
      </c>
      <c r="I57" s="2">
        <v>1034.51</v>
      </c>
      <c r="J57">
        <v>361.61</v>
      </c>
      <c r="K57">
        <v>733.47</v>
      </c>
      <c r="L57">
        <v>646.03</v>
      </c>
      <c r="M57">
        <v>457.91</v>
      </c>
      <c r="N57">
        <v>166.38</v>
      </c>
      <c r="O57">
        <v>295.91000000000003</v>
      </c>
    </row>
    <row r="58" spans="1:15" ht="16" x14ac:dyDescent="0.4">
      <c r="A58" s="1">
        <v>45809</v>
      </c>
      <c r="B58" s="6">
        <v>202506</v>
      </c>
      <c r="C58" s="5">
        <v>4.1100000000000003</v>
      </c>
      <c r="D58" s="5">
        <f t="shared" si="0"/>
        <v>0.34250000000000003</v>
      </c>
      <c r="E58">
        <v>612.52</v>
      </c>
      <c r="F58">
        <v>559.6</v>
      </c>
      <c r="G58">
        <v>46.54</v>
      </c>
      <c r="H58">
        <v>204.74</v>
      </c>
      <c r="I58">
        <v>985.83</v>
      </c>
      <c r="J58">
        <v>359.99</v>
      </c>
      <c r="K58">
        <v>776.68</v>
      </c>
      <c r="L58">
        <v>736.42</v>
      </c>
      <c r="M58">
        <v>495.67</v>
      </c>
      <c r="N58">
        <v>156.03</v>
      </c>
      <c r="O58">
        <v>305.77</v>
      </c>
    </row>
    <row r="59" spans="1:15" ht="16" x14ac:dyDescent="0.4">
      <c r="A59" s="1">
        <v>45839</v>
      </c>
      <c r="B59" s="6">
        <v>202507</v>
      </c>
      <c r="C59" s="5">
        <v>4.13</v>
      </c>
      <c r="D59" s="5">
        <f t="shared" si="0"/>
        <v>0.34416666666666668</v>
      </c>
      <c r="E59">
        <v>628.48</v>
      </c>
      <c r="F59">
        <v>564.11</v>
      </c>
      <c r="G59">
        <v>46.77</v>
      </c>
      <c r="H59">
        <v>207.13</v>
      </c>
      <c r="I59">
        <v>935.74</v>
      </c>
      <c r="J59">
        <v>363.09</v>
      </c>
      <c r="K59">
        <v>737.37</v>
      </c>
      <c r="L59">
        <v>772.29</v>
      </c>
      <c r="M59">
        <v>531.63</v>
      </c>
      <c r="N59">
        <v>147.36000000000001</v>
      </c>
      <c r="O59">
        <v>246.34</v>
      </c>
    </row>
    <row r="60" spans="1:15" ht="16" x14ac:dyDescent="0.4">
      <c r="A60" s="1">
        <v>45870</v>
      </c>
      <c r="B60" s="6">
        <v>202508</v>
      </c>
      <c r="C60" s="5">
        <v>3.86</v>
      </c>
      <c r="D60" s="5">
        <f t="shared" si="0"/>
        <v>0.32166666666666666</v>
      </c>
      <c r="E60">
        <v>641.37</v>
      </c>
      <c r="F60">
        <v>593.61</v>
      </c>
      <c r="G60">
        <v>50.2</v>
      </c>
      <c r="H60">
        <v>231.65</v>
      </c>
      <c r="I60">
        <v>939.4</v>
      </c>
      <c r="J60">
        <v>401.88</v>
      </c>
      <c r="K60">
        <v>729.9</v>
      </c>
      <c r="L60">
        <v>737.6</v>
      </c>
      <c r="M60">
        <v>504.91</v>
      </c>
      <c r="N60">
        <v>154.85</v>
      </c>
      <c r="O60">
        <v>305.87</v>
      </c>
    </row>
    <row r="61" spans="1:15" ht="16" x14ac:dyDescent="0.4">
      <c r="A61" s="1">
        <v>45901</v>
      </c>
      <c r="B61" s="6">
        <v>202509</v>
      </c>
      <c r="C61" s="5">
        <v>3.72</v>
      </c>
      <c r="D61" s="5">
        <f t="shared" si="0"/>
        <v>0.31</v>
      </c>
      <c r="E61">
        <v>662.38</v>
      </c>
      <c r="F61">
        <v>567.21</v>
      </c>
      <c r="G61">
        <v>51.04</v>
      </c>
      <c r="H61">
        <v>254.38</v>
      </c>
      <c r="I61">
        <v>923.06</v>
      </c>
      <c r="J61">
        <v>400.32</v>
      </c>
      <c r="K61">
        <v>761.88</v>
      </c>
      <c r="L61">
        <v>733.29</v>
      </c>
      <c r="M61">
        <v>516.98</v>
      </c>
      <c r="N61">
        <v>151.51</v>
      </c>
      <c r="O61">
        <v>340.84</v>
      </c>
    </row>
    <row r="62" spans="1:15" ht="16" x14ac:dyDescent="0.4">
      <c r="A62" s="1">
        <v>45931</v>
      </c>
      <c r="B62" s="6">
        <v>202510</v>
      </c>
      <c r="C62" s="5">
        <v>3.7</v>
      </c>
      <c r="D62" s="5">
        <f t="shared" si="0"/>
        <v>0.30833333333333335</v>
      </c>
      <c r="E62">
        <v>680.05</v>
      </c>
      <c r="F62">
        <v>550.44000000000005</v>
      </c>
      <c r="G62">
        <v>53.17</v>
      </c>
      <c r="H62">
        <v>270.11</v>
      </c>
      <c r="I62">
        <v>908.92</v>
      </c>
      <c r="J62">
        <v>377.15</v>
      </c>
      <c r="K62">
        <v>861.59</v>
      </c>
      <c r="L62">
        <v>647.82000000000005</v>
      </c>
      <c r="M62">
        <v>516.84</v>
      </c>
      <c r="N62">
        <v>148.27000000000001</v>
      </c>
      <c r="O62">
        <v>339.28</v>
      </c>
    </row>
    <row r="63" spans="1:15" ht="16" x14ac:dyDescent="0.4">
      <c r="A63" s="1">
        <v>45962</v>
      </c>
      <c r="B63" s="6">
        <v>202511</v>
      </c>
      <c r="C63" s="5">
        <v>3.66</v>
      </c>
      <c r="D63" s="5">
        <f t="shared" si="0"/>
        <v>0.30499999999999999</v>
      </c>
      <c r="E63">
        <v>681.38</v>
      </c>
      <c r="F63">
        <v>549.70000000000005</v>
      </c>
      <c r="G63">
        <v>53.37</v>
      </c>
      <c r="H63">
        <v>278.58</v>
      </c>
      <c r="I63">
        <v>912.34</v>
      </c>
      <c r="J63">
        <v>354.63</v>
      </c>
      <c r="K63" s="2">
        <v>1073.8900000000001</v>
      </c>
      <c r="L63">
        <v>647.41999999999996</v>
      </c>
      <c r="M63">
        <v>491.09</v>
      </c>
      <c r="N63">
        <v>147.12</v>
      </c>
      <c r="O63">
        <v>327.57</v>
      </c>
    </row>
    <row r="64" spans="1:15" ht="16" x14ac:dyDescent="0.4">
      <c r="A64" s="1">
        <v>45992</v>
      </c>
      <c r="B64" s="6">
        <v>202512</v>
      </c>
      <c r="C64" s="5">
        <v>3.5</v>
      </c>
      <c r="D64" s="5">
        <f t="shared" si="0"/>
        <v>0.29166666666666669</v>
      </c>
      <c r="E64">
        <v>679.91</v>
      </c>
      <c r="F64">
        <v>570.02</v>
      </c>
      <c r="G64">
        <v>54.72</v>
      </c>
      <c r="H64">
        <v>271.86</v>
      </c>
      <c r="I64">
        <v>861.16</v>
      </c>
      <c r="J64">
        <v>341.89</v>
      </c>
      <c r="K64" s="2">
        <v>1074.68</v>
      </c>
      <c r="L64">
        <v>659.55</v>
      </c>
      <c r="M64">
        <v>483.62</v>
      </c>
      <c r="N64">
        <v>142.30000000000001</v>
      </c>
      <c r="O64">
        <v>327.91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B6C6-FD4A-4EDA-83CE-F65B4DB2AAC0}">
  <dimension ref="A1:N65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RowHeight="14.5" x14ac:dyDescent="0.35"/>
  <cols>
    <col min="2" max="2" width="12.81640625" customWidth="1"/>
    <col min="3" max="3" width="10.90625" customWidth="1"/>
    <col min="4" max="4" width="12.36328125" customWidth="1"/>
    <col min="5" max="5" width="13" customWidth="1"/>
    <col min="6" max="6" width="12.81640625" customWidth="1"/>
    <col min="7" max="7" width="11.36328125" customWidth="1"/>
    <col min="8" max="8" width="11.6328125" customWidth="1"/>
    <col min="9" max="9" width="12.453125" customWidth="1"/>
    <col min="10" max="10" width="12.6328125" customWidth="1"/>
    <col min="11" max="11" width="10.26953125" customWidth="1"/>
    <col min="12" max="12" width="12.90625" customWidth="1"/>
    <col min="13" max="13" width="13.453125" customWidth="1"/>
  </cols>
  <sheetData>
    <row r="1" spans="1:14" x14ac:dyDescent="0.35">
      <c r="A1" t="s">
        <v>67</v>
      </c>
    </row>
    <row r="2" spans="1:14" x14ac:dyDescent="0.35">
      <c r="D2" s="11" t="s">
        <v>69</v>
      </c>
      <c r="E2" s="11"/>
      <c r="F2" s="11"/>
      <c r="G2" s="11"/>
      <c r="H2" s="11"/>
      <c r="I2" s="11"/>
      <c r="J2" s="11"/>
      <c r="K2" s="11"/>
      <c r="M2" s="11" t="s">
        <v>71</v>
      </c>
      <c r="N2" s="11"/>
    </row>
    <row r="3" spans="1:14" x14ac:dyDescent="0.35">
      <c r="D3" s="11"/>
      <c r="E3" s="11"/>
      <c r="F3" s="11"/>
      <c r="G3" s="11"/>
      <c r="H3" s="11"/>
      <c r="I3" s="11"/>
      <c r="J3" s="11"/>
      <c r="K3" s="11"/>
      <c r="M3" s="11"/>
      <c r="N3" s="11"/>
    </row>
    <row r="4" spans="1:14" x14ac:dyDescent="0.35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37</v>
      </c>
    </row>
    <row r="5" spans="1:14" x14ac:dyDescent="0.35">
      <c r="A5" s="1">
        <v>44166</v>
      </c>
    </row>
    <row r="6" spans="1:14" x14ac:dyDescent="0.35">
      <c r="A6" s="1">
        <v>44197</v>
      </c>
      <c r="B6" s="8">
        <f>('RAW DATA'!E5/'RAW DATA'!E4-1)*100</f>
        <v>-0.59850948119586356</v>
      </c>
      <c r="C6" s="8">
        <f>('RAW DATA'!F5/'RAW DATA'!F4-1)*100</f>
        <v>-11.386924520132769</v>
      </c>
      <c r="D6" s="8">
        <f>('RAW DATA'!G5/'RAW DATA'!G4-1)*100</f>
        <v>-1.5730337078651568</v>
      </c>
      <c r="E6" s="8">
        <f>('RAW DATA'!H5/'RAW DATA'!H4-1)*100</f>
        <v>-0.54966323449715526</v>
      </c>
      <c r="F6" s="8">
        <f>('RAW DATA'!I5/'RAW DATA'!I4-1)*100</f>
        <v>-4.0123367826362717</v>
      </c>
      <c r="G6" s="8">
        <f>('RAW DATA'!J5/'RAW DATA'!J4-1)*100</f>
        <v>2.514002308777652</v>
      </c>
      <c r="H6" s="8">
        <f>('RAW DATA'!K5/'RAW DATA'!K4-1)*100</f>
        <v>23.172938900330784</v>
      </c>
      <c r="I6" s="8">
        <f>('RAW DATA'!L5/'RAW DATA'!L4-1)*100</f>
        <v>-5.4300143768201252</v>
      </c>
      <c r="J6" s="8">
        <f>('RAW DATA'!M5/'RAW DATA'!M4-1)*100</f>
        <v>4.2873207759347887</v>
      </c>
      <c r="K6" s="8">
        <f>('RAW DATA'!N5/'RAW DATA'!N4-1)*100</f>
        <v>-7.8500533180214882</v>
      </c>
      <c r="L6" s="8">
        <f>('RAW DATA'!O5/'RAW DATA'!O4-1)*100</f>
        <v>-4.5361400894187609</v>
      </c>
      <c r="M6" s="8">
        <f>AVERAGE(C6:L6)</f>
        <v>-0.53639040443485009</v>
      </c>
    </row>
    <row r="7" spans="1:14" x14ac:dyDescent="0.35">
      <c r="A7" s="1">
        <v>44228</v>
      </c>
      <c r="B7" s="8">
        <f>('RAW DATA'!E6/'RAW DATA'!E5-1)*100</f>
        <v>2.7818787089303854</v>
      </c>
      <c r="C7" s="8">
        <f>('RAW DATA'!F6/'RAW DATA'!F5-1)*100</f>
        <v>12.016286644951135</v>
      </c>
      <c r="D7" s="8">
        <f>('RAW DATA'!G6/'RAW DATA'!G5-1)*100</f>
        <v>17.047184170471841</v>
      </c>
      <c r="E7" s="8">
        <f>('RAW DATA'!H6/'RAW DATA'!H5-1)*100</f>
        <v>-8.1114743889148411</v>
      </c>
      <c r="F7" s="8">
        <f>('RAW DATA'!I6/'RAW DATA'!I5-1)*100</f>
        <v>-6.0808984715173704</v>
      </c>
      <c r="G7" s="8">
        <f>('RAW DATA'!J6/'RAW DATA'!J5-1)*100</f>
        <v>-4.6085832255912003</v>
      </c>
      <c r="H7" s="8">
        <f>('RAW DATA'!K6/'RAW DATA'!K5-1)*100</f>
        <v>-1.4795297932711837</v>
      </c>
      <c r="I7" s="8">
        <f>('RAW DATA'!L6/'RAW DATA'!L5-1)*100</f>
        <v>-0.27675995946051524</v>
      </c>
      <c r="J7" s="8">
        <f>('RAW DATA'!M6/'RAW DATA'!M5-1)*100</f>
        <v>0.18421170867592984</v>
      </c>
      <c r="K7" s="8">
        <f>('RAW DATA'!N6/'RAW DATA'!N5-1)*100</f>
        <v>-3.0710343599786416</v>
      </c>
      <c r="L7" s="8">
        <f>('RAW DATA'!O6/'RAW DATA'!O5-1)*100</f>
        <v>-0.40654372784336701</v>
      </c>
      <c r="M7" s="8">
        <f t="shared" ref="M7:M65" si="0">AVERAGE(C7:L7)</f>
        <v>0.52128585975217834</v>
      </c>
    </row>
    <row r="8" spans="1:14" x14ac:dyDescent="0.35">
      <c r="A8" s="1">
        <v>44256</v>
      </c>
      <c r="B8" s="8">
        <f>('RAW DATA'!E7/'RAW DATA'!E6-1)*100</f>
        <v>4.1964738354080877</v>
      </c>
      <c r="C8" s="8">
        <f>('RAW DATA'!F7/'RAW DATA'!F6-1)*100</f>
        <v>0.62229201198056305</v>
      </c>
      <c r="D8" s="8">
        <f>('RAW DATA'!G7/'RAW DATA'!G6-1)*100</f>
        <v>11.475942782834835</v>
      </c>
      <c r="E8" s="8">
        <f>('RAW DATA'!H7/'RAW DATA'!H6-1)*100</f>
        <v>0.8810572687224516</v>
      </c>
      <c r="F8" s="8">
        <f>('RAW DATA'!I7/'RAW DATA'!I6-1)*100</f>
        <v>6.6984269088118609</v>
      </c>
      <c r="G8" s="8">
        <f>('RAW DATA'!J7/'RAW DATA'!J6-1)*100</f>
        <v>18.157572577824421</v>
      </c>
      <c r="H8" s="8">
        <f>('RAW DATA'!K7/'RAW DATA'!K6-1)*100</f>
        <v>-8.4396214770623317</v>
      </c>
      <c r="I8" s="8">
        <f>('RAW DATA'!L7/'RAW DATA'!L6-1)*100</f>
        <v>14.329828401672984</v>
      </c>
      <c r="J8" s="8">
        <f>('RAW DATA'!M7/'RAW DATA'!M6-1)*100</f>
        <v>1.6907345950309516</v>
      </c>
      <c r="K8" s="8">
        <f>('RAW DATA'!N7/'RAW DATA'!N6-1)*100</f>
        <v>9.6335751676003269</v>
      </c>
      <c r="L8" s="8">
        <f>('RAW DATA'!O7/'RAW DATA'!O6-1)*100</f>
        <v>11.994644373326357</v>
      </c>
      <c r="M8" s="8">
        <f t="shared" si="0"/>
        <v>6.7044452610742429</v>
      </c>
    </row>
    <row r="9" spans="1:14" x14ac:dyDescent="0.35">
      <c r="A9" s="1">
        <v>44287</v>
      </c>
      <c r="B9" s="8">
        <f>('RAW DATA'!E8/'RAW DATA'!E7-1)*100</f>
        <v>5.6384473997188822</v>
      </c>
      <c r="C9" s="8">
        <f>('RAW DATA'!F8/'RAW DATA'!F7-1)*100</f>
        <v>7.3057249371441868</v>
      </c>
      <c r="D9" s="8">
        <f>('RAW DATA'!G8/'RAW DATA'!G7-1)*100</f>
        <v>5.2785068533100166</v>
      </c>
      <c r="E9" s="8">
        <f>('RAW DATA'!H8/'RAW DATA'!H7-1)*100</f>
        <v>7.6251259657373227</v>
      </c>
      <c r="F9" s="8">
        <f>('RAW DATA'!I8/'RAW DATA'!I7-1)*100</f>
        <v>5.5647118755805858</v>
      </c>
      <c r="G9" s="8">
        <f>('RAW DATA'!J8/'RAW DATA'!J7-1)*100</f>
        <v>6.6975023126734534</v>
      </c>
      <c r="H9" s="8">
        <f>('RAW DATA'!K8/'RAW DATA'!K7-1)*100</f>
        <v>-2.1681739032747394</v>
      </c>
      <c r="I9" s="8">
        <f>('RAW DATA'!L8/'RAW DATA'!L7-1)*100</f>
        <v>10.369585284967009</v>
      </c>
      <c r="J9" s="8">
        <f>('RAW DATA'!M8/'RAW DATA'!M7-1)*100</f>
        <v>6.9592061742006717</v>
      </c>
      <c r="K9" s="8">
        <f>('RAW DATA'!N8/'RAW DATA'!N7-1)*100</f>
        <v>-1.482660412129333</v>
      </c>
      <c r="L9" s="8">
        <f>('RAW DATA'!O8/'RAW DATA'!O7-1)*100</f>
        <v>7.5637848082810821</v>
      </c>
      <c r="M9" s="8">
        <f t="shared" si="0"/>
        <v>5.3713313896490265</v>
      </c>
    </row>
    <row r="10" spans="1:14" x14ac:dyDescent="0.35">
      <c r="A10" s="1">
        <v>44317</v>
      </c>
      <c r="B10" s="8">
        <f>('RAW DATA'!E9/'RAW DATA'!E8-1)*100</f>
        <v>0.65503300752265403</v>
      </c>
      <c r="C10" s="8">
        <f>('RAW DATA'!F9/'RAW DATA'!F8-1)*100</f>
        <v>-5.5102205704128604</v>
      </c>
      <c r="D10" s="8">
        <f>('RAW DATA'!G9/'RAW DATA'!G8-1)*100</f>
        <v>4.5706371191135631</v>
      </c>
      <c r="E10" s="8">
        <f>('RAW DATA'!H9/'RAW DATA'!H8-1)*100</f>
        <v>-5.2122347066167247</v>
      </c>
      <c r="F10" s="8">
        <f>('RAW DATA'!I9/'RAW DATA'!I8-1)*100</f>
        <v>1.8763483592596941</v>
      </c>
      <c r="G10" s="8">
        <f>('RAW DATA'!J9/'RAW DATA'!J8-1)*100</f>
        <v>-1.4704352349575234</v>
      </c>
      <c r="H10" s="8">
        <f>('RAW DATA'!K9/'RAW DATA'!K8-1)*100</f>
        <v>9.2840328414767193</v>
      </c>
      <c r="I10" s="8">
        <f>('RAW DATA'!L9/'RAW DATA'!L8-1)*100</f>
        <v>1.1244656464903136</v>
      </c>
      <c r="J10" s="8">
        <f>('RAW DATA'!M9/'RAW DATA'!M8-1)*100</f>
        <v>-0.98956830082876923</v>
      </c>
      <c r="K10" s="8">
        <f>('RAW DATA'!N9/'RAW DATA'!N8-1)*100</f>
        <v>1.7175410254230083</v>
      </c>
      <c r="L10" s="8">
        <f>('RAW DATA'!O9/'RAW DATA'!O8-1)*100</f>
        <v>3.2909539429098134</v>
      </c>
      <c r="M10" s="8">
        <f t="shared" si="0"/>
        <v>0.86815201218572324</v>
      </c>
    </row>
    <row r="11" spans="1:14" x14ac:dyDescent="0.35">
      <c r="A11" s="1">
        <v>44348</v>
      </c>
      <c r="B11" s="8">
        <f>('RAW DATA'!E10/'RAW DATA'!E9-1)*100</f>
        <v>1.9090955310386848</v>
      </c>
      <c r="C11" s="8">
        <f>('RAW DATA'!F10/'RAW DATA'!F9-1)*100</f>
        <v>1.2512469716402963</v>
      </c>
      <c r="D11" s="8">
        <f>('RAW DATA'!G10/'RAW DATA'!G9-1)*100</f>
        <v>-2.7284768211920607</v>
      </c>
      <c r="E11" s="8">
        <f>('RAW DATA'!H10/'RAW DATA'!H9-1)*100</f>
        <v>10.100428054000666</v>
      </c>
      <c r="F11" s="8">
        <f>('RAW DATA'!I10/'RAW DATA'!I9-1)*100</f>
        <v>4.600295355122741</v>
      </c>
      <c r="G11" s="8">
        <f>('RAW DATA'!J10/'RAW DATA'!J9-1)*100</f>
        <v>-7.039526943808383E-3</v>
      </c>
      <c r="H11" s="8">
        <f>('RAW DATA'!K10/'RAW DATA'!K9-1)*100</f>
        <v>15.419775139224544</v>
      </c>
      <c r="I11" s="8">
        <f>('RAW DATA'!L10/'RAW DATA'!L9-1)*100</f>
        <v>5.7742380150099581</v>
      </c>
      <c r="J11" s="8">
        <f>('RAW DATA'!M10/'RAW DATA'!M9-1)*100</f>
        <v>8.7494273934951785</v>
      </c>
      <c r="K11" s="8">
        <f>('RAW DATA'!N10/'RAW DATA'!N9-1)*100</f>
        <v>5.8513750731425951E-2</v>
      </c>
      <c r="L11" s="8">
        <f>('RAW DATA'!O10/'RAW DATA'!O9-1)*100</f>
        <v>-2.7871821116447371</v>
      </c>
      <c r="M11" s="8">
        <f t="shared" si="0"/>
        <v>4.0431226219444207</v>
      </c>
    </row>
    <row r="12" spans="1:14" x14ac:dyDescent="0.35">
      <c r="A12" s="1">
        <v>44378</v>
      </c>
      <c r="B12" s="8">
        <f>('RAW DATA'!E11/'RAW DATA'!E10-1)*100</f>
        <v>2.7763226820324727</v>
      </c>
      <c r="C12" s="8">
        <f>('RAW DATA'!F11/'RAW DATA'!F10-1)*100</f>
        <v>5.7088165747100517</v>
      </c>
      <c r="D12" s="8">
        <f>('RAW DATA'!G11/'RAW DATA'!G10-1)*100</f>
        <v>-6.5631808278867059</v>
      </c>
      <c r="E12" s="8">
        <f>('RAW DATA'!H11/'RAW DATA'!H10-1)*100</f>
        <v>6.4971962616822365</v>
      </c>
      <c r="F12" s="8">
        <f>('RAW DATA'!I11/'RAW DATA'!I10-1)*100</f>
        <v>8.6068193926478465</v>
      </c>
      <c r="G12" s="8">
        <f>('RAW DATA'!J11/'RAW DATA'!J10-1)*100</f>
        <v>3.4566510612834112</v>
      </c>
      <c r="H12" s="8">
        <f>('RAW DATA'!K11/'RAW DATA'!K10-1)*100</f>
        <v>6.0904001092448423</v>
      </c>
      <c r="I12" s="8">
        <f>('RAW DATA'!L11/'RAW DATA'!L10-1)*100</f>
        <v>2.4703156675354609</v>
      </c>
      <c r="J12" s="8">
        <f>('RAW DATA'!M11/'RAW DATA'!M10-1)*100</f>
        <v>5.1696408056980836</v>
      </c>
      <c r="K12" s="8">
        <f>('RAW DATA'!N11/'RAW DATA'!N10-1)*100</f>
        <v>5.405179615705924</v>
      </c>
      <c r="L12" s="8">
        <f>('RAW DATA'!O11/'RAW DATA'!O10-1)*100</f>
        <v>3.3206446910180487</v>
      </c>
      <c r="M12" s="8">
        <f t="shared" si="0"/>
        <v>4.0162483351639198</v>
      </c>
    </row>
    <row r="13" spans="1:14" x14ac:dyDescent="0.35">
      <c r="A13" s="1">
        <v>44409</v>
      </c>
      <c r="B13" s="8">
        <f>('RAW DATA'!E12/'RAW DATA'!E11-1)*100</f>
        <v>2.9755837095286619</v>
      </c>
      <c r="C13" s="8">
        <f>('RAW DATA'!F12/'RAW DATA'!F11-1)*100</f>
        <v>-10.183212611844915</v>
      </c>
      <c r="D13" s="8">
        <f>('RAW DATA'!G12/'RAW DATA'!G11-1)*100</f>
        <v>8.8312445351209625</v>
      </c>
      <c r="E13" s="8">
        <f>('RAW DATA'!H12/'RAW DATA'!H11-1)*100</f>
        <v>4.0929514181409887</v>
      </c>
      <c r="F13" s="8">
        <f>('RAW DATA'!I12/'RAW DATA'!I11-1)*100</f>
        <v>6.1955801918030184</v>
      </c>
      <c r="G13" s="8">
        <f>('RAW DATA'!J12/'RAW DATA'!J11-1)*100</f>
        <v>-0.61243237725834287</v>
      </c>
      <c r="H13" s="8">
        <f>('RAW DATA'!K12/'RAW DATA'!K11-1)*100</f>
        <v>6.0711374265242313</v>
      </c>
      <c r="I13" s="8">
        <f>('RAW DATA'!L12/'RAW DATA'!L11-1)*100</f>
        <v>6.4776870248424379</v>
      </c>
      <c r="J13" s="8">
        <f>('RAW DATA'!M12/'RAW DATA'!M11-1)*100</f>
        <v>5.9568890183512968</v>
      </c>
      <c r="K13" s="8">
        <f>('RAW DATA'!N12/'RAW DATA'!N11-1)*100</f>
        <v>0.74502655147816732</v>
      </c>
      <c r="L13" s="8">
        <f>('RAW DATA'!O12/'RAW DATA'!O11-1)*100</f>
        <v>0.98246714222258724</v>
      </c>
      <c r="M13" s="8">
        <f t="shared" si="0"/>
        <v>2.8557338319380436</v>
      </c>
    </row>
    <row r="14" spans="1:14" x14ac:dyDescent="0.35">
      <c r="A14" s="1">
        <v>44440</v>
      </c>
      <c r="B14" s="8">
        <f>('RAW DATA'!E13/'RAW DATA'!E12-1)*100</f>
        <v>-4.9637032148580946</v>
      </c>
      <c r="C14" s="8">
        <f>('RAW DATA'!F13/'RAW DATA'!F12-1)*100</f>
        <v>0.41805028462997829</v>
      </c>
      <c r="D14" s="8">
        <f>('RAW DATA'!G13/'RAW DATA'!G12-1)*100</f>
        <v>1.6871987145152589</v>
      </c>
      <c r="E14" s="8">
        <f>('RAW DATA'!H13/'RAW DATA'!H12-1)*100</f>
        <v>-6.6635192554124423</v>
      </c>
      <c r="F14" s="8">
        <f>('RAW DATA'!I13/'RAW DATA'!I12-1)*100</f>
        <v>-1.3488232441046799</v>
      </c>
      <c r="G14" s="8">
        <f>('RAW DATA'!J13/'RAW DATA'!J12-1)*100</f>
        <v>0.63674643113895701</v>
      </c>
      <c r="H14" s="8">
        <f>('RAW DATA'!K13/'RAW DATA'!K12-1)*100</f>
        <v>-10.258069735458285</v>
      </c>
      <c r="I14" s="8">
        <f>('RAW DATA'!L13/'RAW DATA'!L12-1)*100</f>
        <v>-10.54014598540145</v>
      </c>
      <c r="J14" s="8">
        <f>('RAW DATA'!M13/'RAW DATA'!M12-1)*100</f>
        <v>-6.4329896907216577</v>
      </c>
      <c r="K14" s="8">
        <f>('RAW DATA'!N13/'RAW DATA'!N12-1)*100</f>
        <v>-1.8173235780033048</v>
      </c>
      <c r="L14" s="8">
        <f>('RAW DATA'!O13/'RAW DATA'!O12-1)*100</f>
        <v>-6.1350169482754291</v>
      </c>
      <c r="M14" s="8">
        <f t="shared" si="0"/>
        <v>-4.0453893007093047</v>
      </c>
    </row>
    <row r="15" spans="1:14" x14ac:dyDescent="0.35">
      <c r="A15" s="1">
        <v>44470</v>
      </c>
      <c r="B15" s="8">
        <f>('RAW DATA'!E14/'RAW DATA'!E13-1)*100</f>
        <v>7.3582659590297972</v>
      </c>
      <c r="C15" s="8">
        <f>('RAW DATA'!F14/'RAW DATA'!F13-1)*100</f>
        <v>-3.4958221382385024</v>
      </c>
      <c r="D15" s="8">
        <f>('RAW DATA'!G14/'RAW DATA'!G13-1)*100</f>
        <v>13.115617592836459</v>
      </c>
      <c r="E15" s="8">
        <f>('RAW DATA'!H14/'RAW DATA'!H13-1)*100</f>
        <v>5.8674759736975224</v>
      </c>
      <c r="F15" s="8">
        <f>('RAW DATA'!I14/'RAW DATA'!I13-1)*100</f>
        <v>9.390583663053409</v>
      </c>
      <c r="G15" s="8">
        <f>('RAW DATA'!J14/'RAW DATA'!J13-1)*100</f>
        <v>13.821138211382111</v>
      </c>
      <c r="H15" s="8">
        <f>('RAW DATA'!K14/'RAW DATA'!K13-1)*100</f>
        <v>10.263229063373291</v>
      </c>
      <c r="I15" s="8">
        <f>('RAW DATA'!L14/'RAW DATA'!L13-1)*100</f>
        <v>-4.6611678139093389</v>
      </c>
      <c r="J15" s="8">
        <f>('RAW DATA'!M14/'RAW DATA'!M13-1)*100</f>
        <v>17.62891141472014</v>
      </c>
      <c r="K15" s="8">
        <f>('RAW DATA'!N14/'RAW DATA'!N13-1)*100</f>
        <v>2.2836538461538547</v>
      </c>
      <c r="L15" s="8">
        <f>('RAW DATA'!O14/'RAW DATA'!O13-1)*100</f>
        <v>18.260006615944423</v>
      </c>
      <c r="M15" s="8">
        <f t="shared" si="0"/>
        <v>8.2473626429013365</v>
      </c>
    </row>
    <row r="16" spans="1:14" x14ac:dyDescent="0.35">
      <c r="A16" s="1">
        <v>44501</v>
      </c>
      <c r="B16" s="8">
        <f>('RAW DATA'!E15/'RAW DATA'!E14-1)*100</f>
        <v>-0.80389937397490341</v>
      </c>
      <c r="C16" s="8">
        <f>('RAW DATA'!F15/'RAW DATA'!F14-1)*100</f>
        <v>-6.0211106011932136</v>
      </c>
      <c r="D16" s="8">
        <f>('RAW DATA'!G15/'RAW DATA'!G14-1)*100</f>
        <v>-6.9150174621653182</v>
      </c>
      <c r="E16" s="8">
        <f>('RAW DATA'!H15/'RAW DATA'!H14-1)*100</f>
        <v>10.347416558596677</v>
      </c>
      <c r="F16" s="8">
        <f>('RAW DATA'!I15/'RAW DATA'!I14-1)*100</f>
        <v>9.909254344662255</v>
      </c>
      <c r="G16" s="8">
        <f>('RAW DATA'!J15/'RAW DATA'!J14-1)*100</f>
        <v>7.7674835624626182</v>
      </c>
      <c r="H16" s="8">
        <f>('RAW DATA'!K15/'RAW DATA'!K14-1)*100</f>
        <v>-2.6366349180394821</v>
      </c>
      <c r="I16" s="8">
        <f>('RAW DATA'!L15/'RAW DATA'!L14-1)*100</f>
        <v>0.27386176205146384</v>
      </c>
      <c r="J16" s="8">
        <f>('RAW DATA'!M15/'RAW DATA'!M14-1)*100</f>
        <v>-0.30910453353314438</v>
      </c>
      <c r="K16" s="8">
        <f>('RAW DATA'!N15/'RAW DATA'!N14-1)*100</f>
        <v>1.7391304347825987</v>
      </c>
      <c r="L16" s="8">
        <f>('RAW DATA'!O15/'RAW DATA'!O14-1)*100</f>
        <v>-3.5291375291375271</v>
      </c>
      <c r="M16" s="8">
        <f t="shared" si="0"/>
        <v>1.0626141618486931</v>
      </c>
    </row>
    <row r="17" spans="1:13" x14ac:dyDescent="0.35">
      <c r="A17" s="1">
        <v>44531</v>
      </c>
      <c r="B17" s="8">
        <f>('RAW DATA'!E16/'RAW DATA'!E15-1)*100</f>
        <v>4.2593325725996056</v>
      </c>
      <c r="C17" s="8">
        <f>('RAW DATA'!F16/'RAW DATA'!F15-1)*100</f>
        <v>14.099684213953179</v>
      </c>
      <c r="D17" s="8">
        <f>('RAW DATA'!G16/'RAW DATA'!G15-1)*100</f>
        <v>5.002501250626068E-2</v>
      </c>
      <c r="E17" s="8">
        <f>('RAW DATA'!H16/'RAW DATA'!H15-1)*100</f>
        <v>7.5771633574565511</v>
      </c>
      <c r="F17" s="8">
        <f>('RAW DATA'!I16/'RAW DATA'!I15-1)*100</f>
        <v>5.2498344822214493</v>
      </c>
      <c r="G17" s="8">
        <f>('RAW DATA'!J16/'RAW DATA'!J15-1)*100</f>
        <v>3.5941096536232342</v>
      </c>
      <c r="H17" s="8">
        <f>('RAW DATA'!K16/'RAW DATA'!K15-1)*100</f>
        <v>11.72222688722815</v>
      </c>
      <c r="I17" s="8">
        <f>('RAW DATA'!L16/'RAW DATA'!L15-1)*100</f>
        <v>3.6653114428478295</v>
      </c>
      <c r="J17" s="8">
        <f>('RAW DATA'!M16/'RAW DATA'!M15-1)*100</f>
        <v>1.9198847442763567</v>
      </c>
      <c r="K17" s="8">
        <f>('RAW DATA'!N16/'RAW DATA'!N15-1)*100</f>
        <v>13.136213136213136</v>
      </c>
      <c r="L17" s="8">
        <f>('RAW DATA'!O16/'RAW DATA'!O15-1)*100</f>
        <v>13.038225486879607</v>
      </c>
      <c r="M17" s="8">
        <f t="shared" si="0"/>
        <v>7.4052678417205753</v>
      </c>
    </row>
    <row r="18" spans="1:13" x14ac:dyDescent="0.35">
      <c r="A18" s="1">
        <v>44562</v>
      </c>
      <c r="B18" s="8">
        <f>('RAW DATA'!E17/'RAW DATA'!E16-1)*100</f>
        <v>-4.9408085771722181</v>
      </c>
      <c r="C18" s="8">
        <f>('RAW DATA'!F17/'RAW DATA'!F16-1)*100</f>
        <v>7.5296735905044487</v>
      </c>
      <c r="D18" s="8">
        <f>('RAW DATA'!G17/'RAW DATA'!G16-1)*100</f>
        <v>4.2000000000000037</v>
      </c>
      <c r="E18" s="8">
        <f>('RAW DATA'!H17/'RAW DATA'!H16-1)*100</f>
        <v>-1.5696872125114947</v>
      </c>
      <c r="F18" s="8">
        <f>('RAW DATA'!I17/'RAW DATA'!I16-1)*100</f>
        <v>-11.021276595744677</v>
      </c>
      <c r="G18" s="8">
        <f>('RAW DATA'!J17/'RAW DATA'!J16-1)*100</f>
        <v>-11.205996519876859</v>
      </c>
      <c r="H18" s="8">
        <f>('RAW DATA'!K17/'RAW DATA'!K16-1)*100</f>
        <v>-11.161217587373173</v>
      </c>
      <c r="I18" s="8">
        <f>('RAW DATA'!L17/'RAW DATA'!L16-1)*100</f>
        <v>-6.864858391713069</v>
      </c>
      <c r="J18" s="8">
        <f>('RAW DATA'!M17/'RAW DATA'!M16-1)*100</f>
        <v>-7.5348780038104746</v>
      </c>
      <c r="K18" s="8">
        <f>('RAW DATA'!N17/'RAW DATA'!N16-1)*100</f>
        <v>-1.9124753283876639</v>
      </c>
      <c r="L18" s="8">
        <f>('RAW DATA'!O17/'RAW DATA'!O16-1)*100</f>
        <v>-5.5812064469240363</v>
      </c>
      <c r="M18" s="8">
        <f t="shared" si="0"/>
        <v>-4.5121922495837001</v>
      </c>
    </row>
    <row r="19" spans="1:13" x14ac:dyDescent="0.35">
      <c r="A19" s="1">
        <v>44593</v>
      </c>
      <c r="B19" s="8">
        <f>('RAW DATA'!E18/'RAW DATA'!E17-1)*100</f>
        <v>-2.9512665068847199</v>
      </c>
      <c r="C19" s="8">
        <f>('RAW DATA'!F18/'RAW DATA'!F17-1)*100</f>
        <v>-6.492955130416334</v>
      </c>
      <c r="D19" s="8">
        <f>('RAW DATA'!G18/'RAW DATA'!G17-1)*100</f>
        <v>-4.1986564299424156</v>
      </c>
      <c r="E19" s="8">
        <f>('RAW DATA'!H18/'RAW DATA'!H17-1)*100</f>
        <v>-5.5260237163385799</v>
      </c>
      <c r="F19" s="8">
        <f>('RAW DATA'!I18/'RAW DATA'!I17-1)*100</f>
        <v>2.7966647952924584</v>
      </c>
      <c r="G19" s="8">
        <f>('RAW DATA'!J18/'RAW DATA'!J17-1)*100</f>
        <v>-13.93771292471887</v>
      </c>
      <c r="H19" s="8">
        <f>('RAW DATA'!K18/'RAW DATA'!K17-1)*100</f>
        <v>1.8570219966159041</v>
      </c>
      <c r="I19" s="8">
        <f>('RAW DATA'!L18/'RAW DATA'!L17-1)*100</f>
        <v>-32.633642997203381</v>
      </c>
      <c r="J19" s="8">
        <f>('RAW DATA'!M18/'RAW DATA'!M17-1)*100</f>
        <v>-3.9215686274509665</v>
      </c>
      <c r="K19" s="8">
        <f>('RAW DATA'!N18/'RAW DATA'!N17-1)*100</f>
        <v>-2.3175131834582308</v>
      </c>
      <c r="L19" s="8">
        <f>('RAW DATA'!O18/'RAW DATA'!O17-1)*100</f>
        <v>0.6972900771999857</v>
      </c>
      <c r="M19" s="8">
        <f t="shared" si="0"/>
        <v>-6.3677096140420426</v>
      </c>
    </row>
    <row r="20" spans="1:13" x14ac:dyDescent="0.35">
      <c r="A20" s="1">
        <v>44621</v>
      </c>
      <c r="B20" s="8">
        <f>('RAW DATA'!E19/'RAW DATA'!E18-1)*100</f>
        <v>3.4380901651251961</v>
      </c>
      <c r="C20" s="8">
        <f>('RAW DATA'!F19/'RAW DATA'!F18-1)*100</f>
        <v>-0.95346197502836905</v>
      </c>
      <c r="D20" s="8">
        <f>('RAW DATA'!G19/'RAW DATA'!G18-1)*100</f>
        <v>-6.7618332081142096</v>
      </c>
      <c r="E20" s="8">
        <f>('RAW DATA'!H19/'RAW DATA'!H18-1)*100</f>
        <v>5.8801706547950472</v>
      </c>
      <c r="F20" s="8">
        <f>('RAW DATA'!I19/'RAW DATA'!I18-1)*100</f>
        <v>11.066386180670751</v>
      </c>
      <c r="G20" s="8">
        <f>('RAW DATA'!J19/'RAW DATA'!J18-1)*100</f>
        <v>-5.2266517200308176</v>
      </c>
      <c r="H20" s="8">
        <f>('RAW DATA'!K19/'RAW DATA'!K18-1)*100</f>
        <v>15.050458906100751</v>
      </c>
      <c r="I20" s="8">
        <f>('RAW DATA'!L19/'RAW DATA'!L18-1)*100</f>
        <v>5.3681347521114642</v>
      </c>
      <c r="J20" s="8">
        <f>('RAW DATA'!M19/'RAW DATA'!M18-1)*100</f>
        <v>3.4002075406433629</v>
      </c>
      <c r="K20" s="8">
        <f>('RAW DATA'!N19/'RAW DATA'!N18-1)*100</f>
        <v>-1.9818155988066466</v>
      </c>
      <c r="L20" s="8">
        <f>('RAW DATA'!O19/'RAW DATA'!O18-1)*100</f>
        <v>7.1674273252546161</v>
      </c>
      <c r="M20" s="8">
        <f t="shared" si="0"/>
        <v>3.3009022857595953</v>
      </c>
    </row>
    <row r="21" spans="1:13" x14ac:dyDescent="0.35">
      <c r="A21" s="1">
        <v>44652</v>
      </c>
      <c r="B21" s="8">
        <f>('RAW DATA'!E20/'RAW DATA'!E19-1)*100</f>
        <v>-8.4944525069051142</v>
      </c>
      <c r="C21" s="8">
        <f>('RAW DATA'!F20/'RAW DATA'!F19-1)*100</f>
        <v>1.6788906715562657</v>
      </c>
      <c r="D21" s="8">
        <f>('RAW DATA'!G20/'RAW DATA'!G19-1)*100</f>
        <v>-13.000268600590914</v>
      </c>
      <c r="E21" s="8">
        <f>('RAW DATA'!H20/'RAW DATA'!H19-1)*100</f>
        <v>-9.7115160009343615</v>
      </c>
      <c r="F21" s="8">
        <f>('RAW DATA'!I20/'RAW DATA'!I19-1)*100</f>
        <v>-7.663588847001412</v>
      </c>
      <c r="G21" s="8">
        <f>('RAW DATA'!J20/'RAW DATA'!J19-1)*100</f>
        <v>0.96473719228209465</v>
      </c>
      <c r="H21" s="8">
        <f>('RAW DATA'!K20/'RAW DATA'!K19-1)*100</f>
        <v>2.0106125690358523</v>
      </c>
      <c r="I21" s="8">
        <f>('RAW DATA'!L20/'RAW DATA'!L19-1)*100</f>
        <v>-9.8451227243908974</v>
      </c>
      <c r="J21" s="8">
        <f>('RAW DATA'!M20/'RAW DATA'!M19-1)*100</f>
        <v>-9.9856153614558689</v>
      </c>
      <c r="K21" s="8">
        <f>('RAW DATA'!N20/'RAW DATA'!N19-1)*100</f>
        <v>5.0728313645916456</v>
      </c>
      <c r="L21" s="8">
        <f>('RAW DATA'!O20/'RAW DATA'!O19-1)*100</f>
        <v>1.678309941888223E-2</v>
      </c>
      <c r="M21" s="8">
        <f t="shared" si="0"/>
        <v>-4.0462256637488725</v>
      </c>
    </row>
    <row r="22" spans="1:13" x14ac:dyDescent="0.35">
      <c r="A22" s="1">
        <v>44682</v>
      </c>
      <c r="B22" s="8">
        <f>('RAW DATA'!E21/'RAW DATA'!E20-1)*100</f>
        <v>0.22510423861048512</v>
      </c>
      <c r="C22" s="8">
        <f>('RAW DATA'!F21/'RAW DATA'!F20-1)*100</f>
        <v>-1.3806706114398382</v>
      </c>
      <c r="D22" s="8">
        <f>('RAW DATA'!G21/'RAW DATA'!G20-1)*100</f>
        <v>4.2605742513121436</v>
      </c>
      <c r="E22" s="8">
        <f>('RAW DATA'!H21/'RAW DATA'!H20-1)*100</f>
        <v>-5.5882543173145454</v>
      </c>
      <c r="F22" s="8">
        <f>('RAW DATA'!I21/'RAW DATA'!I20-1)*100</f>
        <v>-12.175302262282795</v>
      </c>
      <c r="G22" s="8">
        <f>('RAW DATA'!J21/'RAW DATA'!J20-1)*100</f>
        <v>0.7797913234486531</v>
      </c>
      <c r="H22" s="8">
        <f>('RAW DATA'!K21/'RAW DATA'!K20-1)*100</f>
        <v>7.2965322009908018</v>
      </c>
      <c r="I22" s="8">
        <f>('RAW DATA'!L21/'RAW DATA'!L20-1)*100</f>
        <v>-3.4056660638939085</v>
      </c>
      <c r="J22" s="8">
        <f>('RAW DATA'!M21/'RAW DATA'!M20-1)*100</f>
        <v>-2.0365690500966149</v>
      </c>
      <c r="K22" s="8">
        <f>('RAW DATA'!N21/'RAW DATA'!N20-1)*100</f>
        <v>-7.3729222705014141</v>
      </c>
      <c r="L22" s="8">
        <f>('RAW DATA'!O21/'RAW DATA'!O20-1)*100</f>
        <v>-2.3156790770844315</v>
      </c>
      <c r="M22" s="8">
        <f t="shared" si="0"/>
        <v>-2.1938165876861953</v>
      </c>
    </row>
    <row r="23" spans="1:13" x14ac:dyDescent="0.35">
      <c r="A23" s="1">
        <v>44713</v>
      </c>
      <c r="B23" s="8">
        <f>('RAW DATA'!E22/'RAW DATA'!E21-1)*100</f>
        <v>-8.6393915418187426</v>
      </c>
      <c r="C23" s="8">
        <f>('RAW DATA'!F22/'RAW DATA'!F21-1)*100</f>
        <v>-11.842857142857143</v>
      </c>
      <c r="D23" s="8">
        <f>('RAW DATA'!G22/'RAW DATA'!G21-1)*100</f>
        <v>-16.316257032869419</v>
      </c>
      <c r="E23" s="8">
        <f>('RAW DATA'!H22/'RAW DATA'!H21-1)*100</f>
        <v>-8.0084948962115483</v>
      </c>
      <c r="F23" s="8">
        <f>('RAW DATA'!I22/'RAW DATA'!I21-1)*100</f>
        <v>2.8027308659719807</v>
      </c>
      <c r="G23" s="8">
        <f>('RAW DATA'!J22/'RAW DATA'!J21-1)*100</f>
        <v>-9.4049694856146449</v>
      </c>
      <c r="H23" s="8">
        <f>('RAW DATA'!K22/'RAW DATA'!K21-1)*100</f>
        <v>3.7893278807466402</v>
      </c>
      <c r="I23" s="8">
        <f>('RAW DATA'!L22/'RAW DATA'!L21-1)*100</f>
        <v>-16.729069162766518</v>
      </c>
      <c r="J23" s="8">
        <f>('RAW DATA'!M22/'RAW DATA'!M21-1)*100</f>
        <v>-5.3110773899848311</v>
      </c>
      <c r="K23" s="8">
        <f>('RAW DATA'!N22/'RAW DATA'!N21-1)*100</f>
        <v>-2.7699180938198009</v>
      </c>
      <c r="L23" s="8">
        <f>('RAW DATA'!O22/'RAW DATA'!O21-1)*100</f>
        <v>3.3926692576925488</v>
      </c>
      <c r="M23" s="8">
        <f t="shared" si="0"/>
        <v>-6.0397915199712751</v>
      </c>
    </row>
    <row r="24" spans="1:13" x14ac:dyDescent="0.35">
      <c r="A24" s="1">
        <v>44743</v>
      </c>
      <c r="B24" s="8">
        <f>('RAW DATA'!E23/'RAW DATA'!E22-1)*100</f>
        <v>9.6798524974857525</v>
      </c>
      <c r="C24" s="8">
        <f>('RAW DATA'!F23/'RAW DATA'!F22-1)*100</f>
        <v>12.140657916058984</v>
      </c>
      <c r="D24" s="8">
        <f>('RAW DATA'!G23/'RAW DATA'!G22-1)*100</f>
        <v>9.2356687898089049</v>
      </c>
      <c r="E24" s="8">
        <f>('RAW DATA'!H23/'RAW DATA'!H22-1)*100</f>
        <v>18.863568662496277</v>
      </c>
      <c r="F24" s="8">
        <f>('RAW DATA'!I23/'RAW DATA'!I22-1)*100</f>
        <v>12.939094722125134</v>
      </c>
      <c r="G24" s="8">
        <f>('RAW DATA'!J23/'RAW DATA'!J22-1)*100</f>
        <v>10.417418501142794</v>
      </c>
      <c r="H24" s="8">
        <f>('RAW DATA'!K23/'RAW DATA'!K22-1)*100</f>
        <v>1.6840901147087806</v>
      </c>
      <c r="I24" s="8">
        <f>('RAW DATA'!L23/'RAW DATA'!L22-1)*100</f>
        <v>-1.3301692374945384</v>
      </c>
      <c r="J24" s="8">
        <f>('RAW DATA'!M23/'RAW DATA'!M22-1)*100</f>
        <v>9.3068910256410184</v>
      </c>
      <c r="K24" s="8">
        <f>('RAW DATA'!N23/'RAW DATA'!N22-1)*100</f>
        <v>-3.3925562873334369</v>
      </c>
      <c r="L24" s="8">
        <f>('RAW DATA'!O23/'RAW DATA'!O22-1)*100</f>
        <v>5.9666465909326893</v>
      </c>
      <c r="M24" s="8">
        <f t="shared" si="0"/>
        <v>7.5831310798086609</v>
      </c>
    </row>
    <row r="25" spans="1:13" x14ac:dyDescent="0.35">
      <c r="A25" s="1">
        <v>44774</v>
      </c>
      <c r="B25" s="8">
        <f>('RAW DATA'!E24/'RAW DATA'!E23-1)*100</f>
        <v>-4.0803851149996291</v>
      </c>
      <c r="C25" s="8">
        <f>('RAW DATA'!F24/'RAW DATA'!F23-1)*100</f>
        <v>-8.1731741857171691</v>
      </c>
      <c r="D25" s="8">
        <f>('RAW DATA'!G24/'RAW DATA'!G23-1)*100</f>
        <v>-0.61548428895368268</v>
      </c>
      <c r="E25" s="8">
        <f>('RAW DATA'!H24/'RAW DATA'!H23-1)*100</f>
        <v>-3.2579412317524037</v>
      </c>
      <c r="F25" s="8">
        <f>('RAW DATA'!I24/'RAW DATA'!I23-1)*100</f>
        <v>-3.3811098860712985</v>
      </c>
      <c r="G25" s="8">
        <f>('RAW DATA'!J24/'RAW DATA'!J23-1)*100</f>
        <v>-4.1616733849003111</v>
      </c>
      <c r="H25" s="8">
        <f>('RAW DATA'!K24/'RAW DATA'!K23-1)*100</f>
        <v>-8.6309802818661971</v>
      </c>
      <c r="I25" s="8">
        <f>('RAW DATA'!L24/'RAW DATA'!L23-1)*100</f>
        <v>2.4050632911392533</v>
      </c>
      <c r="J25" s="8">
        <f>('RAW DATA'!M24/'RAW DATA'!M23-1)*100</f>
        <v>-6.8614155334823739</v>
      </c>
      <c r="K25" s="8">
        <f>('RAW DATA'!N24/'RAW DATA'!N23-1)*100</f>
        <v>-5.5489496631000446E-2</v>
      </c>
      <c r="L25" s="8">
        <f>('RAW DATA'!O24/'RAW DATA'!O23-1)*100</f>
        <v>-4.2431012856694927</v>
      </c>
      <c r="M25" s="8">
        <f t="shared" si="0"/>
        <v>-3.6975306283904672</v>
      </c>
    </row>
    <row r="26" spans="1:13" x14ac:dyDescent="0.35">
      <c r="A26" s="1">
        <v>44805</v>
      </c>
      <c r="B26" s="8">
        <f>('RAW DATA'!E25/'RAW DATA'!E24-1)*100</f>
        <v>-9.6152314187843544</v>
      </c>
      <c r="C26" s="8">
        <f>('RAW DATA'!F25/'RAW DATA'!F24-1)*100</f>
        <v>-12.340666603720152</v>
      </c>
      <c r="D26" s="8">
        <f>('RAW DATA'!G25/'RAW DATA'!G24-1)*100</f>
        <v>-10.13689700130378</v>
      </c>
      <c r="E26" s="8">
        <f>('RAW DATA'!H25/'RAW DATA'!H24-1)*100</f>
        <v>-11.97461304319669</v>
      </c>
      <c r="F26" s="8">
        <f>('RAW DATA'!I25/'RAW DATA'!I24-1)*100</f>
        <v>-9.5433524854357294</v>
      </c>
      <c r="G26" s="8">
        <f>('RAW DATA'!J25/'RAW DATA'!J24-1)*100</f>
        <v>-3.7020196279034634</v>
      </c>
      <c r="H26" s="8">
        <f>('RAW DATA'!K25/'RAW DATA'!K24-1)*100</f>
        <v>7.6917815246759558</v>
      </c>
      <c r="I26" s="8">
        <f>('RAW DATA'!L25/'RAW DATA'!L24-1)*100</f>
        <v>-16.724351050679854</v>
      </c>
      <c r="J26" s="8">
        <f>('RAW DATA'!M25/'RAW DATA'!M24-1)*100</f>
        <v>-10.739443548069739</v>
      </c>
      <c r="K26" s="8">
        <f>('RAW DATA'!N25/'RAW DATA'!N24-1)*100</f>
        <v>-8.4708121827411169</v>
      </c>
      <c r="L26" s="8">
        <f>('RAW DATA'!O25/'RAW DATA'!O24-1)*100</f>
        <v>-2.7507726314496828</v>
      </c>
      <c r="M26" s="8">
        <f t="shared" si="0"/>
        <v>-7.8691146649824244</v>
      </c>
    </row>
    <row r="27" spans="1:13" x14ac:dyDescent="0.35">
      <c r="A27" s="1">
        <v>44835</v>
      </c>
      <c r="B27" s="8">
        <f>('RAW DATA'!E26/'RAW DATA'!E25-1)*100</f>
        <v>8.5698337152594117</v>
      </c>
      <c r="C27" s="8">
        <f>('RAW DATA'!F26/'RAW DATA'!F25-1)*100</f>
        <v>15.417205227631769</v>
      </c>
      <c r="D27" s="8">
        <f>('RAW DATA'!G26/'RAW DATA'!G25-1)*100</f>
        <v>20.130576713819348</v>
      </c>
      <c r="E27" s="8">
        <f>('RAW DATA'!H26/'RAW DATA'!H25-1)*100</f>
        <v>10.954973513831678</v>
      </c>
      <c r="F27" s="8">
        <f>('RAW DATA'!I26/'RAW DATA'!I25-1)*100</f>
        <v>6.1880311614731065</v>
      </c>
      <c r="G27" s="8">
        <f>('RAW DATA'!J26/'RAW DATA'!J25-1)*100</f>
        <v>7.3148658219879037</v>
      </c>
      <c r="H27" s="8">
        <f>('RAW DATA'!K26/'RAW DATA'!K25-1)*100</f>
        <v>11.982342479674802</v>
      </c>
      <c r="I27" s="8">
        <f>('RAW DATA'!L26/'RAW DATA'!L25-1)*100</f>
        <v>-31.341843550541782</v>
      </c>
      <c r="J27" s="8">
        <f>('RAW DATA'!M26/'RAW DATA'!M25-1)*100</f>
        <v>-0.3306586720747684</v>
      </c>
      <c r="K27" s="8">
        <f>('RAW DATA'!N26/'RAW DATA'!N25-1)*100</f>
        <v>6.6637781629116155</v>
      </c>
      <c r="L27" s="8">
        <f>('RAW DATA'!O26/'RAW DATA'!O25-1)*100</f>
        <v>10.266231716300101</v>
      </c>
      <c r="M27" s="8">
        <f t="shared" si="0"/>
        <v>5.7245502575013774</v>
      </c>
    </row>
    <row r="28" spans="1:13" x14ac:dyDescent="0.35">
      <c r="A28" s="1">
        <v>44866</v>
      </c>
      <c r="B28" s="8">
        <f>('RAW DATA'!E27/'RAW DATA'!E26-1)*100</f>
        <v>5.5608172101204278</v>
      </c>
      <c r="C28" s="8">
        <f>('RAW DATA'!F27/'RAW DATA'!F26-1)*100</f>
        <v>8.7724755801655174</v>
      </c>
      <c r="D28" s="8">
        <f>('RAW DATA'!G27/'RAW DATA'!G26-1)*100</f>
        <v>5.0120772946860015</v>
      </c>
      <c r="E28" s="8">
        <f>('RAW DATA'!H27/'RAW DATA'!H26-1)*100</f>
        <v>-3.4613089317684476</v>
      </c>
      <c r="F28" s="8">
        <f>('RAW DATA'!I27/'RAW DATA'!I26-1)*100</f>
        <v>7.7219674864526855</v>
      </c>
      <c r="G28" s="8">
        <f>('RAW DATA'!J27/'RAW DATA'!J26-1)*100</f>
        <v>9.4085725809408558</v>
      </c>
      <c r="H28" s="8">
        <f>('RAW DATA'!K27/'RAW DATA'!K26-1)*100</f>
        <v>2.4814951362695403</v>
      </c>
      <c r="I28" s="8">
        <f>('RAW DATA'!L27/'RAW DATA'!L26-1)*100</f>
        <v>26.775483731488482</v>
      </c>
      <c r="J28" s="8">
        <f>('RAW DATA'!M27/'RAW DATA'!M26-1)*100</f>
        <v>9.9128588490290603</v>
      </c>
      <c r="K28" s="8">
        <f>('RAW DATA'!N27/'RAW DATA'!N26-1)*100</f>
        <v>11.552522544479649</v>
      </c>
      <c r="L28" s="8">
        <f>('RAW DATA'!O27/'RAW DATA'!O26-1)*100</f>
        <v>-1.3322390395663408</v>
      </c>
      <c r="M28" s="8">
        <f t="shared" si="0"/>
        <v>7.684390523217699</v>
      </c>
    </row>
    <row r="29" spans="1:13" x14ac:dyDescent="0.35">
      <c r="A29" s="1">
        <v>44896</v>
      </c>
      <c r="B29" s="8">
        <f>('RAW DATA'!E28/'RAW DATA'!E27-1)*100</f>
        <v>-6.1932837733914443</v>
      </c>
      <c r="C29" s="8">
        <f>('RAW DATA'!F28/'RAW DATA'!F27-1)*100</f>
        <v>-2.4309329062517926</v>
      </c>
      <c r="D29" s="8">
        <f>('RAW DATA'!G28/'RAW DATA'!G27-1)*100</f>
        <v>-12.478435882691198</v>
      </c>
      <c r="E29" s="8">
        <f>('RAW DATA'!H28/'RAW DATA'!H27-1)*100</f>
        <v>-12.081873755065597</v>
      </c>
      <c r="F29" s="8">
        <f>('RAW DATA'!I28/'RAW DATA'!I27-1)*100</f>
        <v>-15.344877624068875</v>
      </c>
      <c r="G29" s="8">
        <f>('RAW DATA'!J28/'RAW DATA'!J27-1)*100</f>
        <v>-1.9203056402694374</v>
      </c>
      <c r="H29" s="8">
        <f>('RAW DATA'!K28/'RAW DATA'!K27-1)*100</f>
        <v>-1.1373699357981049</v>
      </c>
      <c r="I29" s="8">
        <f>('RAW DATA'!L28/'RAW DATA'!L27-1)*100</f>
        <v>1.9014324693042317</v>
      </c>
      <c r="J29" s="8">
        <f>('RAW DATA'!M28/'RAW DATA'!M27-1)*100</f>
        <v>-5.7388924661944563</v>
      </c>
      <c r="K29" s="8">
        <f>('RAW DATA'!N28/'RAW DATA'!N27-1)*100</f>
        <v>1.602213968392685</v>
      </c>
      <c r="L29" s="8">
        <f>('RAW DATA'!O28/'RAW DATA'!O27-1)*100</f>
        <v>-3.209207853757623</v>
      </c>
      <c r="M29" s="8">
        <f t="shared" si="0"/>
        <v>-5.0838249626400174</v>
      </c>
    </row>
    <row r="30" spans="1:13" x14ac:dyDescent="0.35">
      <c r="A30" s="1">
        <v>44927</v>
      </c>
      <c r="B30" s="8">
        <f>('RAW DATA'!E29/'RAW DATA'!E28-1)*100</f>
        <v>6.7770672787888842</v>
      </c>
      <c r="C30" s="8">
        <f>('RAW DATA'!F29/'RAW DATA'!F28-1)*100</f>
        <v>6.5775589166373605</v>
      </c>
      <c r="D30" s="8">
        <f>('RAW DATA'!G29/'RAW DATA'!G28-1)*100</f>
        <v>7.7529566360052371</v>
      </c>
      <c r="E30" s="8">
        <f>('RAW DATA'!H29/'RAW DATA'!H28-1)*100</f>
        <v>11.054687500000004</v>
      </c>
      <c r="F30" s="8">
        <f>('RAW DATA'!I29/'RAW DATA'!I28-1)*100</f>
        <v>11.969191388215927</v>
      </c>
      <c r="G30" s="8">
        <f>('RAW DATA'!J29/'RAW DATA'!J28-1)*100</f>
        <v>2.631039431422133</v>
      </c>
      <c r="H30" s="8">
        <f>('RAW DATA'!K29/'RAW DATA'!K28-1)*100</f>
        <v>-5.9286214135759296</v>
      </c>
      <c r="I30" s="8">
        <f>('RAW DATA'!L29/'RAW DATA'!L28-1)*100</f>
        <v>23.788804284160303</v>
      </c>
      <c r="J30" s="8">
        <f>('RAW DATA'!M29/'RAW DATA'!M28-1)*100</f>
        <v>3.330202373836566</v>
      </c>
      <c r="K30" s="8">
        <f>('RAW DATA'!N29/'RAW DATA'!N28-1)*100</f>
        <v>-6.0569134829044469</v>
      </c>
      <c r="L30" s="8">
        <f>('RAW DATA'!O29/'RAW DATA'!O28-1)*100</f>
        <v>-5.5540011191941847</v>
      </c>
      <c r="M30" s="8">
        <f t="shared" si="0"/>
        <v>4.9564904514602963</v>
      </c>
    </row>
    <row r="31" spans="1:13" x14ac:dyDescent="0.35">
      <c r="A31" s="1">
        <v>44958</v>
      </c>
      <c r="B31" s="8">
        <f>('RAW DATA'!E30/'RAW DATA'!E29-1)*100</f>
        <v>-2.5157393663305494</v>
      </c>
      <c r="C31" s="8">
        <f>('RAW DATA'!F30/'RAW DATA'!F29-1)*100</f>
        <v>-3.9768976897689878</v>
      </c>
      <c r="D31" s="8">
        <f>('RAW DATA'!G30/'RAW DATA'!G29-1)*100</f>
        <v>-3.3536585365853577</v>
      </c>
      <c r="E31" s="8">
        <f>('RAW DATA'!H30/'RAW DATA'!H29-1)*100</f>
        <v>2.1596904678156781</v>
      </c>
      <c r="F31" s="8">
        <f>('RAW DATA'!I30/'RAW DATA'!I29-1)*100</f>
        <v>-5.2744381621114167</v>
      </c>
      <c r="G31" s="8">
        <f>('RAW DATA'!J30/'RAW DATA'!J29-1)*100</f>
        <v>-8.5231056066054194</v>
      </c>
      <c r="H31" s="8">
        <f>('RAW DATA'!K30/'RAW DATA'!K29-1)*100</f>
        <v>-9.5664593685839243</v>
      </c>
      <c r="I31" s="8">
        <f>('RAW DATA'!L30/'RAW DATA'!L29-1)*100</f>
        <v>17.432743003920503</v>
      </c>
      <c r="J31" s="8">
        <f>('RAW DATA'!M30/'RAW DATA'!M29-1)*100</f>
        <v>0.65283860837945795</v>
      </c>
      <c r="K31" s="8">
        <f>('RAW DATA'!N30/'RAW DATA'!N29-1)*100</f>
        <v>-2.7773538837173817</v>
      </c>
      <c r="L31" s="8">
        <f>('RAW DATA'!O30/'RAW DATA'!O29-1)*100</f>
        <v>-4.6575110565630462</v>
      </c>
      <c r="M31" s="8">
        <f t="shared" si="0"/>
        <v>-1.7884152223819894</v>
      </c>
    </row>
    <row r="32" spans="1:13" x14ac:dyDescent="0.35">
      <c r="A32" s="1">
        <v>44986</v>
      </c>
      <c r="B32" s="8">
        <f>('RAW DATA'!E31/'RAW DATA'!E30-1)*100</f>
        <v>3.3131185844424982</v>
      </c>
      <c r="C32" s="8">
        <f>('RAW DATA'!F31/'RAW DATA'!F30-1)*100</f>
        <v>2.2856160852380292</v>
      </c>
      <c r="D32" s="8">
        <f>('RAW DATA'!G31/'RAW DATA'!G30-1)*100</f>
        <v>-16.593059936908517</v>
      </c>
      <c r="E32" s="8">
        <f>('RAW DATA'!H31/'RAW DATA'!H30-1)*100</f>
        <v>12.036909516595507</v>
      </c>
      <c r="F32" s="8">
        <f>('RAW DATA'!I31/'RAW DATA'!I30-1)*100</f>
        <v>2.799146680457687</v>
      </c>
      <c r="G32" s="8">
        <f>('RAW DATA'!J31/'RAW DATA'!J30-1)*100</f>
        <v>-0.47677973504148818</v>
      </c>
      <c r="H32" s="8">
        <f>('RAW DATA'!K31/'RAW DATA'!K30-1)*100</f>
        <v>10.700184259015533</v>
      </c>
      <c r="I32" s="8">
        <f>('RAW DATA'!L31/'RAW DATA'!L30-1)*100</f>
        <v>21.147758015311126</v>
      </c>
      <c r="J32" s="8">
        <f>('RAW DATA'!M31/'RAW DATA'!M30-1)*100</f>
        <v>15.874384236453199</v>
      </c>
      <c r="K32" s="8">
        <f>('RAW DATA'!N31/'RAW DATA'!N30-1)*100</f>
        <v>8.0913514361952608</v>
      </c>
      <c r="L32" s="8">
        <f>('RAW DATA'!O31/'RAW DATA'!O30-1)*100</f>
        <v>-0.70356889204545858</v>
      </c>
      <c r="M32" s="8">
        <f t="shared" si="0"/>
        <v>5.5161941665270877</v>
      </c>
    </row>
    <row r="33" spans="1:13" x14ac:dyDescent="0.35">
      <c r="A33" s="1">
        <v>45017</v>
      </c>
      <c r="B33" s="8">
        <f>('RAW DATA'!E32/'RAW DATA'!E31-1)*100</f>
        <v>1.9871420222092429</v>
      </c>
      <c r="C33" s="8">
        <f>('RAW DATA'!F32/'RAW DATA'!F31-1)*100</f>
        <v>4.5726926523297351</v>
      </c>
      <c r="D33" s="8">
        <f>('RAW DATA'!G32/'RAW DATA'!G31-1)*100</f>
        <v>3.0257186081694254</v>
      </c>
      <c r="E33" s="8">
        <f>('RAW DATA'!H32/'RAW DATA'!H31-1)*100</f>
        <v>2.8948985863552545</v>
      </c>
      <c r="F33" s="8">
        <f>('RAW DATA'!I32/'RAW DATA'!I31-1)*100</f>
        <v>1.2786651574225427</v>
      </c>
      <c r="G33" s="8">
        <f>('RAW DATA'!J32/'RAW DATA'!J31-1)*100</f>
        <v>2.5745108795026672</v>
      </c>
      <c r="H33" s="8">
        <f>('RAW DATA'!K32/'RAW DATA'!K31-1)*100</f>
        <v>15.271668053739141</v>
      </c>
      <c r="I33" s="8">
        <f>('RAW DATA'!L32/'RAW DATA'!L31-1)*100</f>
        <v>13.389081579322482</v>
      </c>
      <c r="J33" s="8">
        <f>('RAW DATA'!M32/'RAW DATA'!M31-1)*100</f>
        <v>6.5788075247103839</v>
      </c>
      <c r="K33" s="8">
        <f>('RAW DATA'!N32/'RAW DATA'!N31-1)*100</f>
        <v>5.1695345966746631</v>
      </c>
      <c r="L33" s="8">
        <f>('RAW DATA'!O32/'RAW DATA'!O31-1)*100</f>
        <v>4.497194841190022</v>
      </c>
      <c r="M33" s="8">
        <f t="shared" si="0"/>
        <v>5.925277247941632</v>
      </c>
    </row>
    <row r="34" spans="1:13" x14ac:dyDescent="0.35">
      <c r="A34" s="1">
        <v>45047</v>
      </c>
      <c r="B34" s="8">
        <f>('RAW DATA'!E33/'RAW DATA'!E32-1)*100</f>
        <v>0.46094431294381177</v>
      </c>
      <c r="C34" s="8">
        <f>('RAW DATA'!F33/'RAW DATA'!F32-1)*100</f>
        <v>-3.7970277145534914</v>
      </c>
      <c r="D34" s="8">
        <f>('RAW DATA'!G33/'RAW DATA'!G32-1)*100</f>
        <v>-5.1027900146842775</v>
      </c>
      <c r="E34" s="8">
        <f>('RAW DATA'!H33/'RAW DATA'!H32-1)*100</f>
        <v>4.4620990382892245</v>
      </c>
      <c r="F34" s="8">
        <f>('RAW DATA'!I33/'RAW DATA'!I32-1)*100</f>
        <v>1.6578359135690057</v>
      </c>
      <c r="G34" s="8">
        <f>('RAW DATA'!J33/'RAW DATA'!J32-1)*100</f>
        <v>-5.6864772362651088</v>
      </c>
      <c r="H34" s="8">
        <f>('RAW DATA'!K33/'RAW DATA'!K32-1)*100</f>
        <v>8.4884740343458276</v>
      </c>
      <c r="I34" s="8">
        <f>('RAW DATA'!L33/'RAW DATA'!L32-1)*100</f>
        <v>10.152943641315737</v>
      </c>
      <c r="J34" s="8">
        <f>('RAW DATA'!M33/'RAW DATA'!M32-1)*100</f>
        <v>6.8774099188937621</v>
      </c>
      <c r="K34" s="8">
        <f>('RAW DATA'!N33/'RAW DATA'!N32-1)*100</f>
        <v>-8.305143251639624</v>
      </c>
      <c r="L34" s="8">
        <f>('RAW DATA'!O33/'RAW DATA'!O32-1)*100</f>
        <v>-0.98607516416761021</v>
      </c>
      <c r="M34" s="8">
        <f t="shared" si="0"/>
        <v>0.77612491651034454</v>
      </c>
    </row>
    <row r="35" spans="1:13" x14ac:dyDescent="0.35">
      <c r="A35" s="1">
        <v>45078</v>
      </c>
      <c r="B35" s="8">
        <f>('RAW DATA'!E34/'RAW DATA'!E33-1)*100</f>
        <v>6.0863095238095299</v>
      </c>
      <c r="C35" s="8">
        <f>('RAW DATA'!F34/'RAW DATA'!F33-1)*100</f>
        <v>7.7462632560469924</v>
      </c>
      <c r="D35" s="8">
        <f>('RAW DATA'!G34/'RAW DATA'!G33-1)*100</f>
        <v>3.2495164410057953</v>
      </c>
      <c r="E35" s="8">
        <f>('RAW DATA'!H34/'RAW DATA'!H33-1)*100</f>
        <v>9.5837145471180172</v>
      </c>
      <c r="F35" s="8">
        <f>('RAW DATA'!I34/'RAW DATA'!I33-1)*100</f>
        <v>5.4604312152615186</v>
      </c>
      <c r="G35" s="8">
        <f>('RAW DATA'!J34/'RAW DATA'!J33-1)*100</f>
        <v>10.380282754970892</v>
      </c>
      <c r="H35" s="8">
        <f>('RAW DATA'!K34/'RAW DATA'!K33-1)*100</f>
        <v>9.4856681085706107</v>
      </c>
      <c r="I35" s="8">
        <f>('RAW DATA'!L34/'RAW DATA'!L33-1)*100</f>
        <v>8.4106816798539263</v>
      </c>
      <c r="J35" s="8">
        <f>('RAW DATA'!M34/'RAW DATA'!M33-1)*100</f>
        <v>3.9249836718191267</v>
      </c>
      <c r="K35" s="8">
        <f>('RAW DATA'!N34/'RAW DATA'!N33-1)*100</f>
        <v>6.4899864478241254</v>
      </c>
      <c r="L35" s="8">
        <f>('RAW DATA'!O34/'RAW DATA'!O33-1)*100</f>
        <v>-1.3545042125729045</v>
      </c>
      <c r="M35" s="8">
        <f t="shared" si="0"/>
        <v>6.3377023909898096</v>
      </c>
    </row>
    <row r="36" spans="1:13" x14ac:dyDescent="0.35">
      <c r="A36" s="1">
        <v>45108</v>
      </c>
      <c r="B36" s="8">
        <f>('RAW DATA'!E35/'RAW DATA'!E34-1)*100</f>
        <v>3.6564268013279166</v>
      </c>
      <c r="C36" s="8">
        <f>('RAW DATA'!F35/'RAW DATA'!F34-1)*100</f>
        <v>0.2479979333505522</v>
      </c>
      <c r="D36" s="8">
        <f>('RAW DATA'!G35/'RAW DATA'!G34-1)*100</f>
        <v>12.439115773698006</v>
      </c>
      <c r="E36" s="8">
        <f>('RAW DATA'!H35/'RAW DATA'!H34-1)*100</f>
        <v>1.2784387393028673</v>
      </c>
      <c r="F36" s="8">
        <f>('RAW DATA'!I35/'RAW DATA'!I34-1)*100</f>
        <v>4.1410065831386733</v>
      </c>
      <c r="G36" s="8">
        <f>('RAW DATA'!J35/'RAW DATA'!J34-1)*100</f>
        <v>7.4691780821917853</v>
      </c>
      <c r="H36" s="8">
        <f>('RAW DATA'!K35/'RAW DATA'!K34-1)*100</f>
        <v>-3.0760881363290915</v>
      </c>
      <c r="I36" s="8">
        <f>('RAW DATA'!L35/'RAW DATA'!L34-1)*100</f>
        <v>11.017930453700121</v>
      </c>
      <c r="J36" s="8">
        <f>('RAW DATA'!M35/'RAW DATA'!M34-1)*100</f>
        <v>-1.355678587460718</v>
      </c>
      <c r="K36" s="8">
        <f>('RAW DATA'!N35/'RAW DATA'!N34-1)*100</f>
        <v>3.0048076923076872</v>
      </c>
      <c r="L36" s="8">
        <f>('RAW DATA'!O35/'RAW DATA'!O34-1)*100</f>
        <v>5.785866018439445</v>
      </c>
      <c r="M36" s="8">
        <f t="shared" si="0"/>
        <v>4.0952574552339325</v>
      </c>
    </row>
    <row r="37" spans="1:13" x14ac:dyDescent="0.35">
      <c r="A37" s="1">
        <v>45139</v>
      </c>
      <c r="B37" s="8">
        <f>('RAW DATA'!E36/'RAW DATA'!E35-1)*100</f>
        <v>-1.6261446163561732</v>
      </c>
      <c r="C37" s="8">
        <f>('RAW DATA'!F36/'RAW DATA'!F35-1)*100</f>
        <v>4.8085347626655839</v>
      </c>
      <c r="D37" s="8">
        <f>('RAW DATA'!G36/'RAW DATA'!G35-1)*100</f>
        <v>-10.396534488503839</v>
      </c>
      <c r="E37" s="8">
        <f>('RAW DATA'!H36/'RAW DATA'!H35-1)*100</f>
        <v>-4.3639548662991352</v>
      </c>
      <c r="F37" s="8">
        <f>('RAW DATA'!I36/'RAW DATA'!I35-1)*100</f>
        <v>-2.0317366157496686</v>
      </c>
      <c r="G37" s="8">
        <f>('RAW DATA'!J36/'RAW DATA'!J35-1)*100</f>
        <v>-1.0611516522736619</v>
      </c>
      <c r="H37" s="8">
        <f>('RAW DATA'!K36/'RAW DATA'!K35-1)*100</f>
        <v>21.922594517111627</v>
      </c>
      <c r="I37" s="8">
        <f>('RAW DATA'!L36/'RAW DATA'!L35-1)*100</f>
        <v>-7.1272796232497937</v>
      </c>
      <c r="J37" s="8">
        <f>('RAW DATA'!M36/'RAW DATA'!M35-1)*100</f>
        <v>-2.4300709908379292</v>
      </c>
      <c r="K37" s="8">
        <f>('RAW DATA'!N36/'RAW DATA'!N35-1)*100</f>
        <v>-0.63147779531882442</v>
      </c>
      <c r="L37" s="8">
        <f>('RAW DATA'!O36/'RAW DATA'!O35-1)*100</f>
        <v>-5.8834489183314354</v>
      </c>
      <c r="M37" s="8">
        <f t="shared" si="0"/>
        <v>-0.71945256707870764</v>
      </c>
    </row>
    <row r="38" spans="1:13" x14ac:dyDescent="0.35">
      <c r="A38" s="1">
        <v>45170</v>
      </c>
      <c r="B38" s="8">
        <f>('RAW DATA'!E37/'RAW DATA'!E36-1)*100</f>
        <v>-5.0782951601439859</v>
      </c>
      <c r="C38" s="8">
        <f>('RAW DATA'!F37/'RAW DATA'!F36-1)*100</f>
        <v>-4.0543863099921307</v>
      </c>
      <c r="D38" s="8">
        <f>('RAW DATA'!G37/'RAW DATA'!G36-1)*100</f>
        <v>-3.7188545927854255</v>
      </c>
      <c r="E38" s="8">
        <f>('RAW DATA'!H37/'RAW DATA'!H36-1)*100</f>
        <v>-8.7436698631613083</v>
      </c>
      <c r="F38" s="8">
        <f>('RAW DATA'!I37/'RAW DATA'!I36-1)*100</f>
        <v>3.0502573418104806</v>
      </c>
      <c r="G38" s="8">
        <f>('RAW DATA'!J37/'RAW DATA'!J36-1)*100</f>
        <v>-7.936098943571257</v>
      </c>
      <c r="H38" s="8">
        <f>('RAW DATA'!K37/'RAW DATA'!K36-1)*100</f>
        <v>-2.8730986846939532</v>
      </c>
      <c r="I38" s="8">
        <f>('RAW DATA'!L37/'RAW DATA'!L36-1)*100</f>
        <v>1.4599782194391508</v>
      </c>
      <c r="J38" s="8">
        <f>('RAW DATA'!M37/'RAW DATA'!M36-1)*100</f>
        <v>-3.4607132862784051</v>
      </c>
      <c r="K38" s="8">
        <f>('RAW DATA'!N37/'RAW DATA'!N36-1)*100</f>
        <v>-5.498376735511501</v>
      </c>
      <c r="L38" s="8">
        <f>('RAW DATA'!O37/'RAW DATA'!O36-1)*100</f>
        <v>5.7937223676396199</v>
      </c>
      <c r="M38" s="8">
        <f t="shared" si="0"/>
        <v>-2.5981240487104733</v>
      </c>
    </row>
    <row r="39" spans="1:13" x14ac:dyDescent="0.35">
      <c r="A39" s="1">
        <v>45200</v>
      </c>
      <c r="B39" s="8">
        <f>('RAW DATA'!E38/'RAW DATA'!E37-1)*100</f>
        <v>-1.8259987440220282</v>
      </c>
      <c r="C39" s="8">
        <f>('RAW DATA'!F38/'RAW DATA'!F37-1)*100</f>
        <v>-4.9406760115829229</v>
      </c>
      <c r="D39" s="8">
        <f>('RAW DATA'!G38/'RAW DATA'!G37-1)*100</f>
        <v>-3.7852452684434157</v>
      </c>
      <c r="E39" s="8">
        <f>('RAW DATA'!H38/'RAW DATA'!H37-1)*100</f>
        <v>-0.25975559360056355</v>
      </c>
      <c r="F39" s="8">
        <f>('RAW DATA'!I38/'RAW DATA'!I37-1)*100</f>
        <v>-2.2163055453544023</v>
      </c>
      <c r="G39" s="8">
        <f>('RAW DATA'!J38/'RAW DATA'!J37-1)*100</f>
        <v>-5.7794570389028799</v>
      </c>
      <c r="H39" s="8">
        <f>('RAW DATA'!K38/'RAW DATA'!K37-1)*100</f>
        <v>3.1283098804660181</v>
      </c>
      <c r="I39" s="8">
        <f>('RAW DATA'!L38/'RAW DATA'!L37-1)*100</f>
        <v>0.35219535102137822</v>
      </c>
      <c r="J39" s="8">
        <f>('RAW DATA'!M38/'RAW DATA'!M37-1)*100</f>
        <v>7.0825818088121606</v>
      </c>
      <c r="K39" s="8">
        <f>('RAW DATA'!N38/'RAW DATA'!N37-1)*100</f>
        <v>2.857978217966517</v>
      </c>
      <c r="L39" s="8">
        <f>('RAW DATA'!O38/'RAW DATA'!O37-1)*100</f>
        <v>6.6345094288625006</v>
      </c>
      <c r="M39" s="8">
        <f t="shared" si="0"/>
        <v>0.30741352292443913</v>
      </c>
    </row>
    <row r="40" spans="1:13" x14ac:dyDescent="0.35">
      <c r="A40" s="1">
        <v>45231</v>
      </c>
      <c r="B40" s="8">
        <f>('RAW DATA'!E39/'RAW DATA'!E38-1)*100</f>
        <v>9.1349702307730105</v>
      </c>
      <c r="C40" s="8">
        <f>('RAW DATA'!F39/'RAW DATA'!F38-1)*100</f>
        <v>10.119962259064575</v>
      </c>
      <c r="D40" s="8">
        <f>('RAW DATA'!G39/'RAW DATA'!G38-1)*100</f>
        <v>15.736651947009218</v>
      </c>
      <c r="E40" s="8">
        <f>('RAW DATA'!H39/'RAW DATA'!H38-1)*100</f>
        <v>11.23409292690145</v>
      </c>
      <c r="F40" s="8">
        <f>('RAW DATA'!I39/'RAW DATA'!I38-1)*100</f>
        <v>7.29348581300584</v>
      </c>
      <c r="G40" s="8">
        <f>('RAW DATA'!J39/'RAW DATA'!J38-1)*100</f>
        <v>10.114362097133522</v>
      </c>
      <c r="H40" s="8">
        <f>('RAW DATA'!K39/'RAW DATA'!K38-1)*100</f>
        <v>6.699556175035748</v>
      </c>
      <c r="I40" s="8">
        <f>('RAW DATA'!L39/'RAW DATA'!L38-1)*100</f>
        <v>8.5901464001604246</v>
      </c>
      <c r="J40" s="8">
        <f>('RAW DATA'!M39/'RAW DATA'!M38-1)*100</f>
        <v>12.067254188347798</v>
      </c>
      <c r="K40" s="8">
        <f>('RAW DATA'!N39/'RAW DATA'!N38-1)*100</f>
        <v>2.9775440591244928</v>
      </c>
      <c r="L40" s="8">
        <f>('RAW DATA'!O39/'RAW DATA'!O38-1)*100</f>
        <v>3.2502729683356657</v>
      </c>
      <c r="M40" s="8">
        <f t="shared" si="0"/>
        <v>8.8083328834118735</v>
      </c>
    </row>
    <row r="41" spans="1:13" x14ac:dyDescent="0.35">
      <c r="A41" s="1">
        <v>45261</v>
      </c>
      <c r="B41" s="8">
        <f>('RAW DATA'!E40/'RAW DATA'!E39-1)*100</f>
        <v>4.1434658130255597</v>
      </c>
      <c r="C41" s="8">
        <f>('RAW DATA'!F40/'RAW DATA'!F39-1)*100</f>
        <v>3.0624984699747726</v>
      </c>
      <c r="D41" s="8">
        <f>('RAW DATA'!G40/'RAW DATA'!G39-1)*100</f>
        <v>11.307665626083963</v>
      </c>
      <c r="E41" s="8">
        <f>('RAW DATA'!H40/'RAW DATA'!H39-1)*100</f>
        <v>1.4899164582557134</v>
      </c>
      <c r="F41" s="8">
        <f>('RAW DATA'!I40/'RAW DATA'!I39-1)*100</f>
        <v>11.56518543150673</v>
      </c>
      <c r="G41" s="8">
        <f>('RAW DATA'!J40/'RAW DATA'!J39-1)*100</f>
        <v>11.289452387375242</v>
      </c>
      <c r="H41" s="8">
        <f>('RAW DATA'!K40/'RAW DATA'!K39-1)*100</f>
        <v>-1.1928702796541568</v>
      </c>
      <c r="I41" s="8">
        <f>('RAW DATA'!L40/'RAW DATA'!L39-1)*100</f>
        <v>8.1937946318640709</v>
      </c>
      <c r="J41" s="8">
        <f>('RAW DATA'!M40/'RAW DATA'!M39-1)*100</f>
        <v>-0.55557046619608697</v>
      </c>
      <c r="K41" s="8">
        <f>('RAW DATA'!N40/'RAW DATA'!N39-1)*100</f>
        <v>-4.5476502656821456</v>
      </c>
      <c r="L41" s="8">
        <f>('RAW DATA'!O40/'RAW DATA'!O39-1)*100</f>
        <v>-4.7908601642904225</v>
      </c>
      <c r="M41" s="8">
        <f t="shared" si="0"/>
        <v>3.582156182923768</v>
      </c>
    </row>
    <row r="42" spans="1:13" x14ac:dyDescent="0.35">
      <c r="A42" s="1">
        <v>45292</v>
      </c>
      <c r="B42" s="8">
        <f>('RAW DATA'!E41/'RAW DATA'!E40-1)*100</f>
        <v>2.0044591640149712</v>
      </c>
      <c r="C42" s="8">
        <f>('RAW DATA'!F41/'RAW DATA'!F40-1)*100</f>
        <v>5.3277909738717266</v>
      </c>
      <c r="D42" s="8">
        <f>('RAW DATA'!G41/'RAW DATA'!G40-1)*100</f>
        <v>1.0283577438454206</v>
      </c>
      <c r="E42" s="8">
        <f>('RAW DATA'!H41/'RAW DATA'!H40-1)*100</f>
        <v>-4.2258690295181704</v>
      </c>
      <c r="F42" s="8">
        <f>('RAW DATA'!I41/'RAW DATA'!I40-1)*100</f>
        <v>7.6664836457761343</v>
      </c>
      <c r="G42" s="8">
        <f>('RAW DATA'!J41/'RAW DATA'!J40-1)*100</f>
        <v>1.8482608168706616</v>
      </c>
      <c r="H42" s="8">
        <f>('RAW DATA'!K41/'RAW DATA'!K40-1)*100</f>
        <v>10.754109767765495</v>
      </c>
      <c r="I42" s="8">
        <f>('RAW DATA'!L41/'RAW DATA'!L40-1)*100</f>
        <v>10.221906116642954</v>
      </c>
      <c r="J42" s="8">
        <f>('RAW DATA'!M41/'RAW DATA'!M40-1)*100</f>
        <v>5.7270862571521253</v>
      </c>
      <c r="K42" s="8">
        <f>('RAW DATA'!N41/'RAW DATA'!N40-1)*100</f>
        <v>7.2296124927703875</v>
      </c>
      <c r="L42" s="8">
        <f>('RAW DATA'!O41/'RAW DATA'!O40-1)*100</f>
        <v>-2.4673727636955078</v>
      </c>
      <c r="M42" s="8">
        <f t="shared" si="0"/>
        <v>4.311036602148123</v>
      </c>
    </row>
    <row r="43" spans="1:13" x14ac:dyDescent="0.35">
      <c r="A43" s="1">
        <v>45323</v>
      </c>
      <c r="B43" s="8">
        <f>('RAW DATA'!E42/'RAW DATA'!E41-1)*100</f>
        <v>5.2182585998344688</v>
      </c>
      <c r="C43" s="8">
        <f>('RAW DATA'!F42/'RAW DATA'!F41-1)*100</f>
        <v>5.8498522878470016</v>
      </c>
      <c r="D43" s="8">
        <f>('RAW DATA'!G42/'RAW DATA'!G41-1)*100</f>
        <v>1.480567550894496</v>
      </c>
      <c r="E43" s="8">
        <f>('RAW DATA'!H42/'RAW DATA'!H41-1)*100</f>
        <v>-1.9762413094651432</v>
      </c>
      <c r="F43" s="8">
        <f>('RAW DATA'!I42/'RAW DATA'!I41-1)*100</f>
        <v>7.0535610210980204</v>
      </c>
      <c r="G43" s="8">
        <f>('RAW DATA'!J42/'RAW DATA'!J41-1)*100</f>
        <v>7.8330457547450605</v>
      </c>
      <c r="H43" s="8">
        <f>('RAW DATA'!K42/'RAW DATA'!K41-1)*100</f>
        <v>16.740226490960787</v>
      </c>
      <c r="I43" s="8">
        <f>('RAW DATA'!L42/'RAW DATA'!L41-1)*100</f>
        <v>25.630436465942232</v>
      </c>
      <c r="J43" s="8">
        <f>('RAW DATA'!M42/'RAW DATA'!M41-1)*100</f>
        <v>4.0383928115586887</v>
      </c>
      <c r="K43" s="8">
        <f>('RAW DATA'!N42/'RAW DATA'!N41-1)*100</f>
        <v>1.786677454153196</v>
      </c>
      <c r="L43" s="8">
        <f>('RAW DATA'!O42/'RAW DATA'!O41-1)*100</f>
        <v>-3.5445560662138553</v>
      </c>
      <c r="M43" s="8">
        <f t="shared" si="0"/>
        <v>6.4891962461520478</v>
      </c>
    </row>
    <row r="44" spans="1:13" x14ac:dyDescent="0.35">
      <c r="A44" s="1">
        <v>45352</v>
      </c>
      <c r="B44" s="8">
        <f>('RAW DATA'!E43/'RAW DATA'!E42-1)*100</f>
        <v>2.9506675809769733</v>
      </c>
      <c r="C44" s="8">
        <f>('RAW DATA'!F43/'RAW DATA'!F42-1)*100</f>
        <v>1.433836845132852</v>
      </c>
      <c r="D44" s="8">
        <f>('RAW DATA'!G43/'RAW DATA'!G42-1)*100</f>
        <v>10.638297872340431</v>
      </c>
      <c r="E44" s="8">
        <f>('RAW DATA'!H43/'RAW DATA'!H42-1)*100</f>
        <v>-5.0094940243493813</v>
      </c>
      <c r="F44" s="8">
        <f>('RAW DATA'!I43/'RAW DATA'!I42-1)*100</f>
        <v>-1.3692104582635922</v>
      </c>
      <c r="G44" s="8">
        <f>('RAW DATA'!J43/'RAW DATA'!J42-1)*100</f>
        <v>0.78627196733522808</v>
      </c>
      <c r="H44" s="8">
        <f>('RAW DATA'!K43/'RAW DATA'!K42-1)*100</f>
        <v>3.4026236125126008</v>
      </c>
      <c r="I44" s="8">
        <f>('RAW DATA'!L43/'RAW DATA'!L42-1)*100</f>
        <v>-0.82386538738109527</v>
      </c>
      <c r="J44" s="8">
        <f>('RAW DATA'!M43/'RAW DATA'!M42-1)*100</f>
        <v>1.9015605064285124</v>
      </c>
      <c r="K44" s="8">
        <f>('RAW DATA'!N43/'RAW DATA'!N42-1)*100</f>
        <v>2.0798834205471461</v>
      </c>
      <c r="L44" s="8">
        <f>('RAW DATA'!O43/'RAW DATA'!O42-1)*100</f>
        <v>0.22348253252093553</v>
      </c>
      <c r="M44" s="8">
        <f t="shared" si="0"/>
        <v>1.3263386886823636</v>
      </c>
    </row>
    <row r="45" spans="1:13" x14ac:dyDescent="0.35">
      <c r="A45" s="1">
        <v>45383</v>
      </c>
      <c r="B45" s="8">
        <f>('RAW DATA'!E44/'RAW DATA'!E43-1)*100</f>
        <v>-3.733960231168576</v>
      </c>
      <c r="C45" s="8">
        <f>('RAW DATA'!F44/'RAW DATA'!F43-1)*100</f>
        <v>-6.3053980256248749</v>
      </c>
      <c r="D45" s="8">
        <f>('RAW DATA'!G44/'RAW DATA'!G43-1)*100</f>
        <v>-2.417582417582409</v>
      </c>
      <c r="E45" s="8">
        <f>('RAW DATA'!H44/'RAW DATA'!H43-1)*100</f>
        <v>-0.6702334058439785</v>
      </c>
      <c r="F45" s="8">
        <f>('RAW DATA'!I44/'RAW DATA'!I43-1)*100</f>
        <v>-1.3275007934646088</v>
      </c>
      <c r="G45" s="8">
        <f>('RAW DATA'!J44/'RAW DATA'!J43-1)*100</f>
        <v>-12.350815723201581</v>
      </c>
      <c r="H45" s="8">
        <f>('RAW DATA'!K44/'RAW DATA'!K43-1)*100</f>
        <v>0.40336221927290694</v>
      </c>
      <c r="I45" s="8">
        <f>('RAW DATA'!L44/'RAW DATA'!L43-1)*100</f>
        <v>-11.410341398740476</v>
      </c>
      <c r="J45" s="8">
        <f>('RAW DATA'!M44/'RAW DATA'!M43-1)*100</f>
        <v>-7.4618959331583685</v>
      </c>
      <c r="K45" s="8">
        <f>('RAW DATA'!N44/'RAW DATA'!N43-1)*100</f>
        <v>0.59048731425603851</v>
      </c>
      <c r="L45" s="8">
        <f>('RAW DATA'!O44/'RAW DATA'!O43-1)*100</f>
        <v>-1.8385678524097004</v>
      </c>
      <c r="M45" s="8">
        <f t="shared" si="0"/>
        <v>-4.2788486016497052</v>
      </c>
    </row>
    <row r="46" spans="1:13" x14ac:dyDescent="0.35">
      <c r="A46" s="1">
        <v>45413</v>
      </c>
      <c r="B46" s="8">
        <f>('RAW DATA'!E45/'RAW DATA'!E44-1)*100</f>
        <v>5.0591180121695611</v>
      </c>
      <c r="C46" s="8">
        <f>('RAW DATA'!F45/'RAW DATA'!F44-1)*100</f>
        <v>-0.78012912482064989</v>
      </c>
      <c r="D46" s="8">
        <f>('RAW DATA'!G45/'RAW DATA'!G44-1)*100</f>
        <v>8.0518018018018047</v>
      </c>
      <c r="E46" s="8">
        <f>('RAW DATA'!H45/'RAW DATA'!H44-1)*100</f>
        <v>12.867712340929272</v>
      </c>
      <c r="F46" s="8">
        <f>('RAW DATA'!I45/'RAW DATA'!I44-1)*100</f>
        <v>12.21313194881477</v>
      </c>
      <c r="G46" s="8">
        <f>('RAW DATA'!J45/'RAW DATA'!J44-1)*100</f>
        <v>0.19362898188632904</v>
      </c>
      <c r="H46" s="8">
        <f>('RAW DATA'!K45/'RAW DATA'!K44-1)*100</f>
        <v>5.0230677518013467</v>
      </c>
      <c r="I46" s="8">
        <f>('RAW DATA'!L45/'RAW DATA'!L44-1)*100</f>
        <v>8.5211860443363605</v>
      </c>
      <c r="J46" s="8">
        <f>('RAW DATA'!M45/'RAW DATA'!M44-1)*100</f>
        <v>6.6272897585345714</v>
      </c>
      <c r="K46" s="8">
        <f>('RAW DATA'!N45/'RAW DATA'!N44-1)*100</f>
        <v>1.4707779641336627</v>
      </c>
      <c r="L46" s="8">
        <f>('RAW DATA'!O45/'RAW DATA'!O44-1)*100</f>
        <v>2.4130467393866706</v>
      </c>
      <c r="M46" s="8">
        <f t="shared" si="0"/>
        <v>5.660151420680414</v>
      </c>
    </row>
    <row r="47" spans="1:13" x14ac:dyDescent="0.35">
      <c r="A47" s="1">
        <v>45444</v>
      </c>
      <c r="B47" s="8">
        <f>('RAW DATA'!E46/'RAW DATA'!E45-1)*100</f>
        <v>3.1941888619854808</v>
      </c>
      <c r="C47" s="8">
        <f>('RAW DATA'!F46/'RAW DATA'!F45-1)*100</f>
        <v>-1.3217352010845063</v>
      </c>
      <c r="D47" s="8">
        <f>('RAW DATA'!G46/'RAW DATA'!G45-1)*100</f>
        <v>-0.54715997915580905</v>
      </c>
      <c r="E47" s="8">
        <f>('RAW DATA'!H46/'RAW DATA'!H45-1)*100</f>
        <v>9.7068540563217667</v>
      </c>
      <c r="F47" s="8">
        <f>('RAW DATA'!I46/'RAW DATA'!I45-1)*100</f>
        <v>4.9502729380094257</v>
      </c>
      <c r="G47" s="8">
        <f>('RAW DATA'!J46/'RAW DATA'!J45-1)*100</f>
        <v>3.5128732622654368</v>
      </c>
      <c r="H47" s="8">
        <f>('RAW DATA'!K46/'RAW DATA'!K45-1)*100</f>
        <v>10.555281342546907</v>
      </c>
      <c r="I47" s="8">
        <f>('RAW DATA'!L46/'RAW DATA'!L45-1)*100</f>
        <v>8.009394931908286</v>
      </c>
      <c r="J47" s="8">
        <f>('RAW DATA'!M46/'RAW DATA'!M45-1)*100</f>
        <v>7.8576832035920807</v>
      </c>
      <c r="K47" s="8">
        <f>('RAW DATA'!N46/'RAW DATA'!N45-1)*100</f>
        <v>0.22886204704386515</v>
      </c>
      <c r="L47" s="8">
        <f>('RAW DATA'!O46/'RAW DATA'!O45-1)*100</f>
        <v>2.8039925505869645</v>
      </c>
      <c r="M47" s="8">
        <f t="shared" si="0"/>
        <v>4.5756319152034415</v>
      </c>
    </row>
    <row r="48" spans="1:13" x14ac:dyDescent="0.35">
      <c r="A48" s="1">
        <v>45474</v>
      </c>
      <c r="B48" s="8">
        <f>('RAW DATA'!E47/'RAW DATA'!E46-1)*100</f>
        <v>1.5373352855051037</v>
      </c>
      <c r="C48" s="8">
        <f>('RAW DATA'!F47/'RAW DATA'!F46-1)*100</f>
        <v>5.1127647395535103</v>
      </c>
      <c r="D48" s="8">
        <f>('RAW DATA'!G47/'RAW DATA'!G46-1)*100</f>
        <v>1.9910924810060182</v>
      </c>
      <c r="E48" s="8">
        <f>('RAW DATA'!H47/'RAW DATA'!H46-1)*100</f>
        <v>5.4397705544933173</v>
      </c>
      <c r="F48" s="8">
        <f>('RAW DATA'!I47/'RAW DATA'!I46-1)*100</f>
        <v>-3.2929580809880066</v>
      </c>
      <c r="G48" s="8">
        <f>('RAW DATA'!J47/'RAW DATA'!J46-1)*100</f>
        <v>6.9499232135866951</v>
      </c>
      <c r="H48" s="8">
        <f>('RAW DATA'!K47/'RAW DATA'!K46-1)*100</f>
        <v>-11.168158582047916</v>
      </c>
      <c r="I48" s="8">
        <f>('RAW DATA'!L47/'RAW DATA'!L46-1)*100</f>
        <v>-5.7336658354114718</v>
      </c>
      <c r="J48" s="8">
        <f>('RAW DATA'!M47/'RAW DATA'!M46-1)*100</f>
        <v>-6.3983348039548531</v>
      </c>
      <c r="K48" s="8">
        <f>('RAW DATA'!N47/'RAW DATA'!N46-1)*100</f>
        <v>-2.5244196371939531</v>
      </c>
      <c r="L48" s="8">
        <f>('RAW DATA'!O47/'RAW DATA'!O46-1)*100</f>
        <v>13.615176372407323</v>
      </c>
      <c r="M48" s="8">
        <f t="shared" si="0"/>
        <v>0.39911904214506622</v>
      </c>
    </row>
    <row r="49" spans="1:13" x14ac:dyDescent="0.35">
      <c r="A49" s="1">
        <v>45505</v>
      </c>
      <c r="B49" s="8">
        <f>('RAW DATA'!E48/'RAW DATA'!E47-1)*100</f>
        <v>2.3367163958368131</v>
      </c>
      <c r="C49" s="8">
        <f>('RAW DATA'!F48/'RAW DATA'!F47-1)*100</f>
        <v>4.3870349394441233</v>
      </c>
      <c r="D49" s="8">
        <f>('RAW DATA'!G48/'RAW DATA'!G47-1)*100</f>
        <v>1.0788594913948124</v>
      </c>
      <c r="E49" s="8">
        <f>('RAW DATA'!H48/'RAW DATA'!H47-1)*100</f>
        <v>3.1190497778583737</v>
      </c>
      <c r="F49" s="8">
        <f>('RAW DATA'!I48/'RAW DATA'!I47-1)*100</f>
        <v>8.7171678720974413</v>
      </c>
      <c r="G49" s="8">
        <f>('RAW DATA'!J48/'RAW DATA'!J47-1)*100</f>
        <v>9.009769969310355E-2</v>
      </c>
      <c r="H49" s="8">
        <f>('RAW DATA'!K48/'RAW DATA'!K47-1)*100</f>
        <v>19.365984821832427</v>
      </c>
      <c r="I49" s="8">
        <f>('RAW DATA'!L48/'RAW DATA'!L47-1)*100</f>
        <v>9.7881526316903269</v>
      </c>
      <c r="J49" s="8">
        <f>('RAW DATA'!M48/'RAW DATA'!M47-1)*100</f>
        <v>-0.29005825336587687</v>
      </c>
      <c r="K49" s="8">
        <f>('RAW DATA'!N48/'RAW DATA'!N47-1)*100</f>
        <v>7.3529411764705843</v>
      </c>
      <c r="L49" s="8">
        <f>('RAW DATA'!O48/'RAW DATA'!O47-1)*100</f>
        <v>2.4382815579203854</v>
      </c>
      <c r="M49" s="8">
        <f t="shared" si="0"/>
        <v>5.6047511715035707</v>
      </c>
    </row>
    <row r="50" spans="1:13" x14ac:dyDescent="0.35">
      <c r="A50" s="1">
        <v>45536</v>
      </c>
      <c r="B50" s="8">
        <f>('RAW DATA'!E49/'RAW DATA'!E48-1)*100</f>
        <v>1.7883917119785986</v>
      </c>
      <c r="C50" s="8">
        <f>('RAW DATA'!F49/'RAW DATA'!F48-1)*100</f>
        <v>2.1639330578857141</v>
      </c>
      <c r="D50" s="8">
        <f>('RAW DATA'!G49/'RAW DATA'!G48-1)*100</f>
        <v>-2.6175349428208428</v>
      </c>
      <c r="E50" s="8">
        <f>('RAW DATA'!H49/'RAW DATA'!H48-1)*100</f>
        <v>1.864064011254718</v>
      </c>
      <c r="F50" s="8">
        <f>('RAW DATA'!I49/'RAW DATA'!I48-1)*100</f>
        <v>-0.65623023402909819</v>
      </c>
      <c r="G50" s="8">
        <f>('RAW DATA'!J49/'RAW DATA'!J48-1)*100</f>
        <v>10.627584460884965</v>
      </c>
      <c r="H50" s="8">
        <f>('RAW DATA'!K49/'RAW DATA'!K48-1)*100</f>
        <v>-7.5872885548573183</v>
      </c>
      <c r="I50" s="8">
        <f>('RAW DATA'!L49/'RAW DATA'!L48-1)*100</f>
        <v>9.8080037011334618</v>
      </c>
      <c r="J50" s="8">
        <f>('RAW DATA'!M49/'RAW DATA'!M48-1)*100</f>
        <v>3.3429492618360923</v>
      </c>
      <c r="K50" s="8">
        <f>('RAW DATA'!N49/'RAW DATA'!N48-1)*100</f>
        <v>0.96375318220389694</v>
      </c>
      <c r="L50" s="8">
        <f>('RAW DATA'!O49/'RAW DATA'!O48-1)*100</f>
        <v>-0.93565819619089163</v>
      </c>
      <c r="M50" s="8">
        <f t="shared" si="0"/>
        <v>1.6973575747300693</v>
      </c>
    </row>
    <row r="51" spans="1:13" x14ac:dyDescent="0.35">
      <c r="A51" s="1">
        <v>45566</v>
      </c>
      <c r="B51" s="8">
        <f>('RAW DATA'!E50/'RAW DATA'!E49-1)*100</f>
        <v>-0.58920616891761091</v>
      </c>
      <c r="C51" s="8">
        <f>('RAW DATA'!F50/'RAW DATA'!F49-1)*100</f>
        <v>1.1724095671888701</v>
      </c>
      <c r="D51" s="8">
        <f>('RAW DATA'!G50/'RAW DATA'!G49-1)*100</f>
        <v>6.0803757828809868</v>
      </c>
      <c r="E51" s="8">
        <f>('RAW DATA'!H50/'RAW DATA'!H49-1)*100</f>
        <v>-3.042727665084155</v>
      </c>
      <c r="F51" s="8">
        <f>('RAW DATA'!I50/'RAW DATA'!I49-1)*100</f>
        <v>-1.3927576601671321</v>
      </c>
      <c r="G51" s="8">
        <f>('RAW DATA'!J50/'RAW DATA'!J49-1)*100</f>
        <v>-2.8250311490833124</v>
      </c>
      <c r="H51" s="8">
        <f>('RAW DATA'!K50/'RAW DATA'!K49-1)*100</f>
        <v>-6.3433303338534923</v>
      </c>
      <c r="I51" s="8">
        <f>('RAW DATA'!L50/'RAW DATA'!L49-1)*100</f>
        <v>-0.75486272031457524</v>
      </c>
      <c r="J51" s="8">
        <f>('RAW DATA'!M50/'RAW DATA'!M49-1)*100</f>
        <v>-5.5665024630541904</v>
      </c>
      <c r="K51" s="8">
        <f>('RAW DATA'!N50/'RAW DATA'!N49-1)*100</f>
        <v>-4.6286846370894974</v>
      </c>
      <c r="L51" s="8">
        <f>('RAW DATA'!O50/'RAW DATA'!O49-1)*100</f>
        <v>-3.1088906150695594</v>
      </c>
      <c r="M51" s="8">
        <f t="shared" si="0"/>
        <v>-2.0410001893646057</v>
      </c>
    </row>
    <row r="52" spans="1:13" x14ac:dyDescent="0.35">
      <c r="A52" s="1">
        <v>45597</v>
      </c>
      <c r="B52" s="8">
        <f>('RAW DATA'!E51/'RAW DATA'!E50-1)*100</f>
        <v>5.964473801660275</v>
      </c>
      <c r="C52" s="8">
        <f>('RAW DATA'!F51/'RAW DATA'!F50-1)*100</f>
        <v>6.8176771041527973</v>
      </c>
      <c r="D52" s="8">
        <f>('RAW DATA'!G51/'RAW DATA'!G50-1)*100</f>
        <v>13.603936039360388</v>
      </c>
      <c r="E52" s="8">
        <f>('RAW DATA'!H51/'RAW DATA'!H50-1)*100</f>
        <v>5.0523035833518692</v>
      </c>
      <c r="F52" s="8">
        <f>('RAW DATA'!I51/'RAW DATA'!I50-1)*100</f>
        <v>11.176063645797306</v>
      </c>
      <c r="G52" s="8">
        <f>('RAW DATA'!J51/'RAW DATA'!J50-1)*100</f>
        <v>8.9857651245551562</v>
      </c>
      <c r="H52" s="8">
        <f>('RAW DATA'!K51/'RAW DATA'!K50-1)*100</f>
        <v>-4.14477524810275</v>
      </c>
      <c r="I52" s="8">
        <f>('RAW DATA'!L51/'RAW DATA'!L50-1)*100</f>
        <v>1.1868963809388955</v>
      </c>
      <c r="J52" s="8">
        <f>('RAW DATA'!M51/'RAW DATA'!M50-1)*100</f>
        <v>4.2104478724197092</v>
      </c>
      <c r="K52" s="8">
        <f>('RAW DATA'!N51/'RAW DATA'!N50-1)*100</f>
        <v>9.1590079315120079</v>
      </c>
      <c r="L52" s="8">
        <f>('RAW DATA'!O51/'RAW DATA'!O50-1)*100</f>
        <v>8.0954029480895695</v>
      </c>
      <c r="M52" s="8">
        <f t="shared" si="0"/>
        <v>6.4142725382074941</v>
      </c>
    </row>
    <row r="53" spans="1:13" x14ac:dyDescent="0.35">
      <c r="A53" s="1">
        <v>45627</v>
      </c>
      <c r="B53" s="8">
        <f>('RAW DATA'!E52/'RAW DATA'!E51-1)*100</f>
        <v>-2.7343486757867574</v>
      </c>
      <c r="C53" s="8">
        <f>('RAW DATA'!F52/'RAW DATA'!F51-1)*100</f>
        <v>-1.1944811944812006</v>
      </c>
      <c r="D53" s="8">
        <f>('RAW DATA'!G52/'RAW DATA'!G51-1)*100</f>
        <v>-7.4924209614551813</v>
      </c>
      <c r="E53" s="8">
        <f>('RAW DATA'!H52/'RAW DATA'!H51-1)*100</f>
        <v>5.6313559322033857</v>
      </c>
      <c r="F53" s="8">
        <f>('RAW DATA'!I52/'RAW DATA'!I51-1)*100</f>
        <v>-5.5961751864181846</v>
      </c>
      <c r="G53" s="8">
        <f>('RAW DATA'!J52/'RAW DATA'!J51-1)*100</f>
        <v>-8.8763505402160945</v>
      </c>
      <c r="H53" s="8">
        <f>('RAW DATA'!K52/'RAW DATA'!K51-1)*100</f>
        <v>-2.7760860738936244</v>
      </c>
      <c r="I53" s="8">
        <f>('RAW DATA'!L52/'RAW DATA'!L51-1)*100</f>
        <v>1.9491303207761712</v>
      </c>
      <c r="J53" s="8">
        <f>('RAW DATA'!M52/'RAW DATA'!M51-1)*100</f>
        <v>-0.26458810068649141</v>
      </c>
      <c r="K53" s="8">
        <f>('RAW DATA'!N52/'RAW DATA'!N51-1)*100</f>
        <v>-6.4759817772908068</v>
      </c>
      <c r="L53" s="8">
        <f>('RAW DATA'!O52/'RAW DATA'!O51-1)*100</f>
        <v>-17.098742541212964</v>
      </c>
      <c r="M53" s="8">
        <f t="shared" si="0"/>
        <v>-4.2194340122674996</v>
      </c>
    </row>
    <row r="54" spans="1:13" x14ac:dyDescent="0.35">
      <c r="A54" s="1">
        <v>45658</v>
      </c>
      <c r="B54" s="8">
        <f>('RAW DATA'!E53/'RAW DATA'!E52-1)*100</f>
        <v>3.0311953302270878</v>
      </c>
      <c r="C54" s="8">
        <f>('RAW DATA'!F53/'RAW DATA'!F52-1)*100</f>
        <v>5.4803167680477438</v>
      </c>
      <c r="D54" s="8">
        <f>('RAW DATA'!G53/'RAW DATA'!G52-1)*100</f>
        <v>5.922284644194753</v>
      </c>
      <c r="E54" s="8">
        <f>('RAW DATA'!H53/'RAW DATA'!H52-1)*100</f>
        <v>-5.7563480284006596</v>
      </c>
      <c r="F54" s="8">
        <f>('RAW DATA'!I53/'RAW DATA'!I52-1)*100</f>
        <v>6.9418963604205297</v>
      </c>
      <c r="G54" s="8">
        <f>('RAW DATA'!J53/'RAW DATA'!J52-1)*100</f>
        <v>5.9099412431164788</v>
      </c>
      <c r="H54" s="8">
        <f>('RAW DATA'!K53/'RAW DATA'!K52-1)*100</f>
        <v>5.06342329174716</v>
      </c>
      <c r="I54" s="8">
        <f>('RAW DATA'!L53/'RAW DATA'!L52-1)*100</f>
        <v>17.80006858710561</v>
      </c>
      <c r="J54" s="8">
        <f>('RAW DATA'!M53/'RAW DATA'!M52-1)*100</f>
        <v>-1.5272101527210258</v>
      </c>
      <c r="K54" s="8">
        <f>('RAW DATA'!N53/'RAW DATA'!N52-1)*100</f>
        <v>-0.98655814527068841</v>
      </c>
      <c r="L54" s="8">
        <f>('RAW DATA'!O53/'RAW DATA'!O52-1)*100</f>
        <v>7.6511731934447713</v>
      </c>
      <c r="M54" s="8">
        <f t="shared" si="0"/>
        <v>4.6498987761684667</v>
      </c>
    </row>
    <row r="55" spans="1:13" x14ac:dyDescent="0.35">
      <c r="A55" s="1">
        <v>45689</v>
      </c>
      <c r="B55" s="8">
        <f>('RAW DATA'!E54/'RAW DATA'!E53-1)*100</f>
        <v>-1.2692702116571253</v>
      </c>
      <c r="C55" s="8">
        <f>('RAW DATA'!F54/'RAW DATA'!F53-1)*100</f>
        <v>3.911647897285242</v>
      </c>
      <c r="D55" s="8">
        <f>('RAW DATA'!G54/'RAW DATA'!G53-1)*100</f>
        <v>-0.4198895027624272</v>
      </c>
      <c r="E55" s="8">
        <f>('RAW DATA'!H54/'RAW DATA'!H53-1)*100</f>
        <v>2.4729718225930064</v>
      </c>
      <c r="F55" s="8">
        <f>('RAW DATA'!I54/'RAW DATA'!I53-1)*100</f>
        <v>7.0141556920674697</v>
      </c>
      <c r="G55" s="8">
        <f>('RAW DATA'!J54/'RAW DATA'!J53-1)*100</f>
        <v>-3.734202408199816</v>
      </c>
      <c r="H55" s="8">
        <f>('RAW DATA'!K54/'RAW DATA'!K53-1)*100</f>
        <v>13.505490137626053</v>
      </c>
      <c r="I55" s="8">
        <f>('RAW DATA'!L54/'RAW DATA'!L53-1)*100</f>
        <v>-3.0436238191583809</v>
      </c>
      <c r="J55" s="8">
        <f>('RAW DATA'!M54/'RAW DATA'!M53-1)*100</f>
        <v>-4.354157565166739</v>
      </c>
      <c r="K55" s="8">
        <f>('RAW DATA'!N54/'RAW DATA'!N53-1)*100</f>
        <v>5.3680408519118039</v>
      </c>
      <c r="L55" s="8">
        <f>('RAW DATA'!O54/'RAW DATA'!O53-1)*100</f>
        <v>-12.44876758900746</v>
      </c>
      <c r="M55" s="8">
        <f t="shared" si="0"/>
        <v>0.8271665517188751</v>
      </c>
    </row>
    <row r="56" spans="1:13" x14ac:dyDescent="0.35">
      <c r="A56" s="1">
        <v>45717</v>
      </c>
      <c r="B56" s="8">
        <f>('RAW DATA'!E55/'RAW DATA'!E54-1)*100</f>
        <v>-5.8541070698814863</v>
      </c>
      <c r="C56" s="8">
        <f>('RAW DATA'!F55/'RAW DATA'!F54-1)*100</f>
        <v>-4.8917975567190126</v>
      </c>
      <c r="D56" s="8">
        <f>('RAW DATA'!G55/'RAW DATA'!G54-1)*100</f>
        <v>-9.4762538837106174</v>
      </c>
      <c r="E56" s="8">
        <f>('RAW DATA'!H55/'RAW DATA'!H54-1)*100</f>
        <v>-8.0498442367601175</v>
      </c>
      <c r="F56" s="8">
        <f>('RAW DATA'!I55/'RAW DATA'!I54-1)*100</f>
        <v>-9.7068366387006328</v>
      </c>
      <c r="G56" s="8">
        <f>('RAW DATA'!J55/'RAW DATA'!J54-1)*100</f>
        <v>-7.5901279235043306</v>
      </c>
      <c r="H56" s="8">
        <f>('RAW DATA'!K55/'RAW DATA'!K54-1)*100</f>
        <v>-10.133397533404088</v>
      </c>
      <c r="I56" s="8">
        <f>('RAW DATA'!L55/'RAW DATA'!L54-1)*100</f>
        <v>-13.744182555171902</v>
      </c>
      <c r="J56" s="8">
        <f>('RAW DATA'!M55/'RAW DATA'!M54-1)*100</f>
        <v>-5.250203004466103</v>
      </c>
      <c r="K56" s="8">
        <f>('RAW DATA'!N55/'RAW DATA'!N54-1)*100</f>
        <v>-1.9680851063829663</v>
      </c>
      <c r="L56" s="8">
        <f>('RAW DATA'!O55/'RAW DATA'!O54-1)*100</f>
        <v>10.273115588730208</v>
      </c>
      <c r="M56" s="8">
        <f t="shared" si="0"/>
        <v>-6.0537612850089575</v>
      </c>
    </row>
    <row r="57" spans="1:13" x14ac:dyDescent="0.35">
      <c r="A57" s="1">
        <v>45748</v>
      </c>
      <c r="B57" s="8">
        <f>('RAW DATA'!E56/'RAW DATA'!E55-1)*100</f>
        <v>-0.56972327726532157</v>
      </c>
      <c r="C57" s="8">
        <f>('RAW DATA'!F56/'RAW DATA'!F55-1)*100</f>
        <v>-1.100978035489808E-2</v>
      </c>
      <c r="D57" s="8">
        <f>('RAW DATA'!G56/'RAW DATA'!G55-1)*100</f>
        <v>-3.8489825937729871</v>
      </c>
      <c r="E57" s="8">
        <f>('RAW DATA'!H56/'RAW DATA'!H55-1)*100</f>
        <v>-4.3321136558702626</v>
      </c>
      <c r="F57" s="8">
        <f>('RAW DATA'!I56/'RAW DATA'!I55-1)*100</f>
        <v>5.1519210733346199</v>
      </c>
      <c r="G57" s="8">
        <f>('RAW DATA'!J56/'RAW DATA'!J55-1)*100</f>
        <v>-1.0151574472845204</v>
      </c>
      <c r="H57" s="8">
        <f>('RAW DATA'!K56/'RAW DATA'!K55-1)*100</f>
        <v>8.8430486720814336</v>
      </c>
      <c r="I57" s="8">
        <f>('RAW DATA'!L56/'RAW DATA'!L55-1)*100</f>
        <v>-4.6627795666173473</v>
      </c>
      <c r="J57" s="8">
        <f>('RAW DATA'!M56/'RAW DATA'!M55-1)*100</f>
        <v>5.2920538846782161</v>
      </c>
      <c r="K57" s="8">
        <f>('RAW DATA'!N56/'RAW DATA'!N55-1)*100</f>
        <v>-4.6060167601133521</v>
      </c>
      <c r="L57" s="8">
        <f>('RAW DATA'!O56/'RAW DATA'!O55-1)*100</f>
        <v>-21.106894123170839</v>
      </c>
      <c r="M57" s="8">
        <f t="shared" si="0"/>
        <v>-2.0295930297089937</v>
      </c>
    </row>
    <row r="58" spans="1:13" x14ac:dyDescent="0.35">
      <c r="A58" s="1">
        <v>45778</v>
      </c>
      <c r="B58" s="8">
        <f>('RAW DATA'!E57/'RAW DATA'!E56-1)*100</f>
        <v>6.2846748522055407</v>
      </c>
      <c r="C58" s="8">
        <f>('RAW DATA'!F57/'RAW DATA'!F56-1)*100</f>
        <v>7.0195078086289442</v>
      </c>
      <c r="D58" s="8">
        <f>('RAW DATA'!G57/'RAW DATA'!G56-1)*100</f>
        <v>10.657827638959706</v>
      </c>
      <c r="E58" s="8">
        <f>('RAW DATA'!H57/'RAW DATA'!H56-1)*100</f>
        <v>-5.4821040702615953</v>
      </c>
      <c r="F58" s="8">
        <f>('RAW DATA'!I57/'RAW DATA'!I56-1)*100</f>
        <v>4.5931572774699614</v>
      </c>
      <c r="G58" s="8">
        <f>('RAW DATA'!J57/'RAW DATA'!J56-1)*100</f>
        <v>2.1641474784574122</v>
      </c>
      <c r="H58" s="8">
        <f>('RAW DATA'!K57/'RAW DATA'!K56-1)*100</f>
        <v>-17.940771735117423</v>
      </c>
      <c r="I58" s="8">
        <f>('RAW DATA'!L57/'RAW DATA'!L56-1)*100</f>
        <v>17.940338834526059</v>
      </c>
      <c r="J58" s="8">
        <f>('RAW DATA'!M57/'RAW DATA'!M56-1)*100</f>
        <v>16.472084446140165</v>
      </c>
      <c r="K58" s="8">
        <f>('RAW DATA'!N57/'RAW DATA'!N56-1)*100</f>
        <v>5.1507299500726855</v>
      </c>
      <c r="L58" s="8">
        <f>('RAW DATA'!O57/'RAW DATA'!O56-1)*100</f>
        <v>-26.622362189104066</v>
      </c>
      <c r="M58" s="8">
        <f t="shared" si="0"/>
        <v>1.3952555439771857</v>
      </c>
    </row>
    <row r="59" spans="1:13" x14ac:dyDescent="0.35">
      <c r="A59" s="1">
        <v>45809</v>
      </c>
      <c r="B59" s="8">
        <f>('RAW DATA'!E58/'RAW DATA'!E57-1)*100</f>
        <v>4.8297107650179694</v>
      </c>
      <c r="C59" s="8">
        <f>('RAW DATA'!F58/'RAW DATA'!F57-1)*100</f>
        <v>-4.0400576171205067</v>
      </c>
      <c r="D59" s="8">
        <f>('RAW DATA'!G58/'RAW DATA'!G57-1)*100</f>
        <v>7.235023041474653</v>
      </c>
      <c r="E59" s="8">
        <f>('RAW DATA'!H58/'RAW DATA'!H57-1)*100</f>
        <v>2.2830593995104342</v>
      </c>
      <c r="F59" s="8">
        <f>('RAW DATA'!I58/'RAW DATA'!I57-1)*100</f>
        <v>-4.7056094189519619</v>
      </c>
      <c r="G59" s="8">
        <f>('RAW DATA'!J58/'RAW DATA'!J57-1)*100</f>
        <v>-0.44799646027487983</v>
      </c>
      <c r="H59" s="8">
        <f>('RAW DATA'!K58/'RAW DATA'!K57-1)*100</f>
        <v>5.8911748265096042</v>
      </c>
      <c r="I59" s="8">
        <f>('RAW DATA'!L58/'RAW DATA'!L57-1)*100</f>
        <v>13.991610296735434</v>
      </c>
      <c r="J59" s="8">
        <f>('RAW DATA'!M58/'RAW DATA'!M57-1)*100</f>
        <v>8.2461619095455454</v>
      </c>
      <c r="K59" s="8">
        <f>('RAW DATA'!N58/'RAW DATA'!N57-1)*100</f>
        <v>-6.2206996033177031</v>
      </c>
      <c r="L59" s="8">
        <f>('RAW DATA'!O58/'RAW DATA'!O57-1)*100</f>
        <v>3.3320942178364898</v>
      </c>
      <c r="M59" s="8">
        <f t="shared" si="0"/>
        <v>2.5564760591947113</v>
      </c>
    </row>
    <row r="60" spans="1:13" x14ac:dyDescent="0.35">
      <c r="A60" s="1">
        <v>45839</v>
      </c>
      <c r="B60" s="8">
        <f>('RAW DATA'!E59/'RAW DATA'!E58-1)*100</f>
        <v>2.6056292039443596</v>
      </c>
      <c r="C60" s="8">
        <f>('RAW DATA'!F59/'RAW DATA'!F58-1)*100</f>
        <v>0.80593280914940113</v>
      </c>
      <c r="D60" s="8">
        <f>('RAW DATA'!G59/'RAW DATA'!G58-1)*100</f>
        <v>0.49419853889127729</v>
      </c>
      <c r="E60" s="8">
        <f>('RAW DATA'!H59/'RAW DATA'!H58-1)*100</f>
        <v>1.1673341799355308</v>
      </c>
      <c r="F60" s="8">
        <f>('RAW DATA'!I59/'RAW DATA'!I58-1)*100</f>
        <v>-5.0809977379467135</v>
      </c>
      <c r="G60" s="8">
        <f>('RAW DATA'!J59/'RAW DATA'!J58-1)*100</f>
        <v>0.86113503152864812</v>
      </c>
      <c r="H60" s="8">
        <f>('RAW DATA'!K59/'RAW DATA'!K58-1)*100</f>
        <v>-5.0612865015192803</v>
      </c>
      <c r="I60" s="8">
        <f>('RAW DATA'!L59/'RAW DATA'!L58-1)*100</f>
        <v>4.8708617365090578</v>
      </c>
      <c r="J60" s="8">
        <f>('RAW DATA'!M59/'RAW DATA'!M58-1)*100</f>
        <v>7.2548268000887539</v>
      </c>
      <c r="K60" s="8">
        <f>('RAW DATA'!N59/'RAW DATA'!N58-1)*100</f>
        <v>-5.5566237262064888</v>
      </c>
      <c r="L60" s="8">
        <f>('RAW DATA'!O59/'RAW DATA'!O58-1)*100</f>
        <v>-19.436177519050258</v>
      </c>
      <c r="M60" s="8">
        <f t="shared" si="0"/>
        <v>-1.968079638862007</v>
      </c>
    </row>
    <row r="61" spans="1:13" x14ac:dyDescent="0.35">
      <c r="A61" s="1">
        <v>45870</v>
      </c>
      <c r="B61" s="8">
        <f>('RAW DATA'!E60/'RAW DATA'!E59-1)*100</f>
        <v>2.0509801425661944</v>
      </c>
      <c r="C61" s="8">
        <f>('RAW DATA'!F60/'RAW DATA'!F59-1)*100</f>
        <v>5.2294765205367799</v>
      </c>
      <c r="D61" s="8">
        <f>('RAW DATA'!G60/'RAW DATA'!G59-1)*100</f>
        <v>7.3337609578789875</v>
      </c>
      <c r="E61" s="8">
        <f>('RAW DATA'!H60/'RAW DATA'!H59-1)*100</f>
        <v>11.837976150243822</v>
      </c>
      <c r="F61" s="8">
        <f>('RAW DATA'!I60/'RAW DATA'!I59-1)*100</f>
        <v>0.39113428943937656</v>
      </c>
      <c r="G61" s="8">
        <f>('RAW DATA'!J60/'RAW DATA'!J59-1)*100</f>
        <v>10.68330166074527</v>
      </c>
      <c r="H61" s="8">
        <f>('RAW DATA'!K60/'RAW DATA'!K59-1)*100</f>
        <v>-1.0130599292078601</v>
      </c>
      <c r="I61" s="8">
        <f>('RAW DATA'!L60/'RAW DATA'!L59-1)*100</f>
        <v>-4.4918359683538522</v>
      </c>
      <c r="J61" s="8">
        <f>('RAW DATA'!M60/'RAW DATA'!M59-1)*100</f>
        <v>-5.0260519534262471</v>
      </c>
      <c r="K61" s="8">
        <f>('RAW DATA'!N60/'RAW DATA'!N59-1)*100</f>
        <v>5.0827904451682837</v>
      </c>
      <c r="L61" s="8">
        <f>('RAW DATA'!O60/'RAW DATA'!O59-1)*100</f>
        <v>24.165787123487871</v>
      </c>
      <c r="M61" s="8">
        <f t="shared" si="0"/>
        <v>5.4193279296512431</v>
      </c>
    </row>
    <row r="62" spans="1:13" x14ac:dyDescent="0.35">
      <c r="A62" s="1">
        <v>45901</v>
      </c>
      <c r="B62" s="8">
        <f>('RAW DATA'!E61/'RAW DATA'!E60-1)*100</f>
        <v>3.2758002401110042</v>
      </c>
      <c r="C62" s="8">
        <f>('RAW DATA'!F61/'RAW DATA'!F60-1)*100</f>
        <v>-4.4473644311921916</v>
      </c>
      <c r="D62" s="8">
        <f>('RAW DATA'!G61/'RAW DATA'!G60-1)*100</f>
        <v>1.6733067729083562</v>
      </c>
      <c r="E62" s="8">
        <f>('RAW DATA'!H61/'RAW DATA'!H60-1)*100</f>
        <v>9.812216706237864</v>
      </c>
      <c r="F62" s="8">
        <f>('RAW DATA'!I61/'RAW DATA'!I60-1)*100</f>
        <v>-1.7394081328507616</v>
      </c>
      <c r="G62" s="8">
        <f>('RAW DATA'!J61/'RAW DATA'!J60-1)*100</f>
        <v>-0.38817557479844389</v>
      </c>
      <c r="H62" s="8">
        <f>('RAW DATA'!K61/'RAW DATA'!K60-1)*100</f>
        <v>4.3814221126181607</v>
      </c>
      <c r="I62" s="8">
        <f>('RAW DATA'!L61/'RAW DATA'!L60-1)*100</f>
        <v>-0.58432754880695104</v>
      </c>
      <c r="J62" s="8">
        <f>('RAW DATA'!M61/'RAW DATA'!M60-1)*100</f>
        <v>2.3905250440672487</v>
      </c>
      <c r="K62" s="8">
        <f>('RAW DATA'!N61/'RAW DATA'!N60-1)*100</f>
        <v>-2.1569260574749727</v>
      </c>
      <c r="L62" s="8">
        <f>('RAW DATA'!O61/'RAW DATA'!O60-1)*100</f>
        <v>11.43296171576158</v>
      </c>
      <c r="M62" s="8">
        <f t="shared" si="0"/>
        <v>2.0374230606469892</v>
      </c>
    </row>
    <row r="63" spans="1:13" x14ac:dyDescent="0.35">
      <c r="A63" s="1">
        <v>45931</v>
      </c>
      <c r="B63" s="8">
        <f>('RAW DATA'!E62/'RAW DATA'!E61-1)*100</f>
        <v>2.6676530088468819</v>
      </c>
      <c r="C63" s="8">
        <f>('RAW DATA'!F62/'RAW DATA'!F61-1)*100</f>
        <v>-2.9565769291796662</v>
      </c>
      <c r="D63" s="8">
        <f>('RAW DATA'!G62/'RAW DATA'!G61-1)*100</f>
        <v>4.1731974921630055</v>
      </c>
      <c r="E63" s="8">
        <f>('RAW DATA'!H62/'RAW DATA'!H61-1)*100</f>
        <v>6.1836622375972983</v>
      </c>
      <c r="F63" s="8">
        <f>('RAW DATA'!I62/'RAW DATA'!I61-1)*100</f>
        <v>-1.5318614174593237</v>
      </c>
      <c r="G63" s="8">
        <f>('RAW DATA'!J62/'RAW DATA'!J61-1)*100</f>
        <v>-5.7878697042366145</v>
      </c>
      <c r="H63" s="8">
        <f>('RAW DATA'!K62/'RAW DATA'!K61-1)*100</f>
        <v>13.087362839292283</v>
      </c>
      <c r="I63" s="8">
        <f>('RAW DATA'!L62/'RAW DATA'!L61-1)*100</f>
        <v>-11.655688745244031</v>
      </c>
      <c r="J63" s="8">
        <f>('RAW DATA'!M62/'RAW DATA'!M61-1)*100</f>
        <v>-2.7080351270836189E-2</v>
      </c>
      <c r="K63" s="8">
        <f>('RAW DATA'!N62/'RAW DATA'!N61-1)*100</f>
        <v>-2.1384727080720589</v>
      </c>
      <c r="L63" s="8">
        <f>('RAW DATA'!O62/'RAW DATA'!O61-1)*100</f>
        <v>-0.45769275906584195</v>
      </c>
      <c r="M63" s="8">
        <f t="shared" si="0"/>
        <v>-0.11110200454757865</v>
      </c>
    </row>
    <row r="64" spans="1:13" x14ac:dyDescent="0.35">
      <c r="A64" s="1">
        <v>45962</v>
      </c>
      <c r="B64" s="8">
        <f>('RAW DATA'!E63/'RAW DATA'!E62-1)*100</f>
        <v>0.19557385486361767</v>
      </c>
      <c r="C64" s="8">
        <f>('RAW DATA'!F63/'RAW DATA'!F62-1)*100</f>
        <v>-0.13443790422207336</v>
      </c>
      <c r="D64" s="8">
        <f>('RAW DATA'!G63/'RAW DATA'!G62-1)*100</f>
        <v>0.37615196539400042</v>
      </c>
      <c r="E64" s="8">
        <f>('RAW DATA'!H63/'RAW DATA'!H62-1)*100</f>
        <v>3.1357595053866927</v>
      </c>
      <c r="F64" s="8">
        <f>('RAW DATA'!I63/'RAW DATA'!I62-1)*100</f>
        <v>0.3762707388989206</v>
      </c>
      <c r="G64" s="8">
        <f>('RAW DATA'!J63/'RAW DATA'!J62-1)*100</f>
        <v>-5.9710990322152995</v>
      </c>
      <c r="H64" s="8">
        <f>('RAW DATA'!K63/'RAW DATA'!K62-1)*100</f>
        <v>24.64049025638646</v>
      </c>
      <c r="I64" s="8">
        <f>('RAW DATA'!L63/'RAW DATA'!L62-1)*100</f>
        <v>-6.1745546602465229E-2</v>
      </c>
      <c r="J64" s="8">
        <f>('RAW DATA'!M63/'RAW DATA'!M62-1)*100</f>
        <v>-4.9821995201609903</v>
      </c>
      <c r="K64" s="8">
        <f>('RAW DATA'!N63/'RAW DATA'!N62-1)*100</f>
        <v>-0.77561205908140973</v>
      </c>
      <c r="L64" s="8">
        <f>('RAW DATA'!O63/'RAW DATA'!O62-1)*100</f>
        <v>-3.4514265503418962</v>
      </c>
      <c r="M64" s="8">
        <f t="shared" si="0"/>
        <v>1.315215185344194</v>
      </c>
    </row>
    <row r="65" spans="1:13" x14ac:dyDescent="0.35">
      <c r="A65" s="1">
        <v>45992</v>
      </c>
      <c r="B65" s="8">
        <f>('RAW DATA'!E64/'RAW DATA'!E63-1)*100</f>
        <v>-0.21573864803781095</v>
      </c>
      <c r="C65" s="8">
        <f>('RAW DATA'!F64/'RAW DATA'!F63-1)*100</f>
        <v>3.696561760960515</v>
      </c>
      <c r="D65" s="8">
        <f>('RAW DATA'!G64/'RAW DATA'!G63-1)*100</f>
        <v>2.5295109612141653</v>
      </c>
      <c r="E65" s="8">
        <f>('RAW DATA'!H64/'RAW DATA'!H63-1)*100</f>
        <v>-2.4122334697393777</v>
      </c>
      <c r="F65" s="8">
        <f>('RAW DATA'!I64/'RAW DATA'!I63-1)*100</f>
        <v>-5.6097507508165894</v>
      </c>
      <c r="G65" s="8">
        <f>('RAW DATA'!J64/'RAW DATA'!J63-1)*100</f>
        <v>-3.5924766658207208</v>
      </c>
      <c r="H65" s="8">
        <f>('RAW DATA'!K64/'RAW DATA'!K63-1)*100</f>
        <v>7.3564331542330663E-2</v>
      </c>
      <c r="I65" s="8">
        <f>('RAW DATA'!L64/'RAW DATA'!L63-1)*100</f>
        <v>1.8735905594513547</v>
      </c>
      <c r="J65" s="8">
        <f>('RAW DATA'!M64/'RAW DATA'!M63-1)*100</f>
        <v>-1.5211061108961643</v>
      </c>
      <c r="K65" s="8">
        <f>('RAW DATA'!N64/'RAW DATA'!N63-1)*100</f>
        <v>-3.2762370853724798</v>
      </c>
      <c r="L65" s="8">
        <f>('RAW DATA'!O64/'RAW DATA'!O63-1)*100</f>
        <v>0.10379460878591207</v>
      </c>
      <c r="M65" s="8">
        <f t="shared" si="0"/>
        <v>-0.8134781860691056</v>
      </c>
    </row>
  </sheetData>
  <mergeCells count="2">
    <mergeCell ref="D2:K3"/>
    <mergeCell ref="M2:N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EC6B-3DD5-4993-BDC3-0A538F0381C5}">
  <dimension ref="A1:N64"/>
  <sheetViews>
    <sheetView zoomScaleNormal="100" workbookViewId="0">
      <pane ySplit="4" topLeftCell="A5" activePane="bottomLeft" state="frozen"/>
      <selection pane="bottomLeft" activeCell="D12" sqref="D12"/>
    </sheetView>
  </sheetViews>
  <sheetFormatPr defaultRowHeight="14.5" x14ac:dyDescent="0.35"/>
  <cols>
    <col min="1" max="1" width="11.1796875" customWidth="1"/>
    <col min="2" max="2" width="12.26953125" customWidth="1"/>
    <col min="3" max="3" width="11.6328125" customWidth="1"/>
    <col min="4" max="4" width="12.1796875" customWidth="1"/>
    <col min="5" max="5" width="13.6328125" customWidth="1"/>
    <col min="6" max="6" width="12.81640625" customWidth="1"/>
    <col min="7" max="7" width="11" customWidth="1"/>
    <col min="8" max="8" width="11.54296875" customWidth="1"/>
    <col min="9" max="9" width="12.90625" customWidth="1"/>
    <col min="10" max="10" width="13.1796875" customWidth="1"/>
    <col min="11" max="11" width="11.54296875" customWidth="1"/>
    <col min="12" max="12" width="12.7265625" customWidth="1"/>
    <col min="14" max="14" width="12.36328125" customWidth="1"/>
  </cols>
  <sheetData>
    <row r="1" spans="1:14" x14ac:dyDescent="0.35">
      <c r="A1" t="s">
        <v>67</v>
      </c>
    </row>
    <row r="2" spans="1:14" x14ac:dyDescent="0.35">
      <c r="B2" s="12" t="s">
        <v>70</v>
      </c>
      <c r="C2" s="12"/>
      <c r="D2" s="12"/>
      <c r="E2" s="12"/>
      <c r="F2" s="12"/>
      <c r="G2" s="12"/>
      <c r="H2" s="12"/>
      <c r="I2" s="12"/>
      <c r="J2" s="12"/>
      <c r="M2" s="11" t="s">
        <v>72</v>
      </c>
      <c r="N2" s="11"/>
    </row>
    <row r="3" spans="1:14" x14ac:dyDescent="0.35">
      <c r="B3" s="12"/>
      <c r="C3" s="12"/>
      <c r="D3" s="12"/>
      <c r="E3" s="12"/>
      <c r="F3" s="12"/>
      <c r="G3" s="12"/>
      <c r="H3" s="12"/>
      <c r="I3" s="12"/>
      <c r="J3" s="12"/>
      <c r="M3" s="11"/>
      <c r="N3" s="11"/>
    </row>
    <row r="4" spans="1:14" x14ac:dyDescent="0.35">
      <c r="A4" t="s">
        <v>0</v>
      </c>
      <c r="B4" t="s">
        <v>26</v>
      </c>
      <c r="C4" t="s">
        <v>27</v>
      </c>
      <c r="D4" t="s">
        <v>35</v>
      </c>
      <c r="E4" t="s">
        <v>28</v>
      </c>
      <c r="F4" t="s">
        <v>29</v>
      </c>
      <c r="G4" t="s">
        <v>30</v>
      </c>
      <c r="H4" t="s">
        <v>31</v>
      </c>
      <c r="I4" t="s">
        <v>36</v>
      </c>
      <c r="J4" t="s">
        <v>32</v>
      </c>
      <c r="K4" t="s">
        <v>33</v>
      </c>
      <c r="L4" t="s">
        <v>34</v>
      </c>
      <c r="M4" t="s">
        <v>38</v>
      </c>
    </row>
    <row r="5" spans="1:14" x14ac:dyDescent="0.35">
      <c r="A5" s="1">
        <v>44197</v>
      </c>
      <c r="B5" s="8">
        <f>' MONTHLY RETURN'!B6-'RAW DATA'!D5</f>
        <v>-0.59850948119586356</v>
      </c>
      <c r="C5" s="8">
        <f>' MONTHLY RETURN'!C6-'RAW DATA'!D5</f>
        <v>-11.386924520132769</v>
      </c>
      <c r="D5" s="8">
        <f>' MONTHLY RETURN'!D6-'RAW DATA'!$D5</f>
        <v>-1.5730337078651568</v>
      </c>
      <c r="E5" s="8">
        <f>' MONTHLY RETURN'!E6-'RAW DATA'!$D5</f>
        <v>-0.54966323449715526</v>
      </c>
      <c r="F5" s="8">
        <f>' MONTHLY RETURN'!F6-'RAW DATA'!$D5</f>
        <v>-4.0123367826362717</v>
      </c>
      <c r="G5" s="8">
        <f>' MONTHLY RETURN'!G6-'RAW DATA'!$D5</f>
        <v>2.514002308777652</v>
      </c>
      <c r="H5" s="8">
        <f>' MONTHLY RETURN'!H6-'RAW DATA'!$D5</f>
        <v>23.172938900330784</v>
      </c>
      <c r="I5" s="8">
        <f>' MONTHLY RETURN'!I6-'RAW DATA'!$D5</f>
        <v>-5.4300143768201252</v>
      </c>
      <c r="J5" s="8">
        <f>' MONTHLY RETURN'!J6-'RAW DATA'!$D5</f>
        <v>4.2873207759347887</v>
      </c>
      <c r="K5" s="8">
        <f>' MONTHLY RETURN'!K6-'RAW DATA'!$D5</f>
        <v>-7.8500533180214882</v>
      </c>
      <c r="L5" s="8">
        <f>' MONTHLY RETURN'!L6-'RAW DATA'!$D5</f>
        <v>-4.5361400894187609</v>
      </c>
      <c r="M5" s="8">
        <f>' MONTHLY RETURN'!M6-'RAW DATA'!D5</f>
        <v>-0.53639040443485009</v>
      </c>
    </row>
    <row r="6" spans="1:14" x14ac:dyDescent="0.35">
      <c r="A6" s="1">
        <v>44228</v>
      </c>
      <c r="B6" s="8">
        <f>' MONTHLY RETURN'!B7-'RAW DATA'!D6</f>
        <v>2.7818787089303854</v>
      </c>
      <c r="C6" s="8">
        <f>' MONTHLY RETURN'!C7-'RAW DATA'!$D6</f>
        <v>12.016286644951135</v>
      </c>
      <c r="D6" s="8">
        <f>' MONTHLY RETURN'!D7-'RAW DATA'!$D6</f>
        <v>17.047184170471841</v>
      </c>
      <c r="E6" s="8">
        <f>' MONTHLY RETURN'!E7-'RAW DATA'!$D6</f>
        <v>-8.1114743889148411</v>
      </c>
      <c r="F6" s="8">
        <f>' MONTHLY RETURN'!F7-'RAW DATA'!$D6</f>
        <v>-6.0808984715173704</v>
      </c>
      <c r="G6" s="8">
        <f>' MONTHLY RETURN'!G7-'RAW DATA'!$D6</f>
        <v>-4.6085832255912003</v>
      </c>
      <c r="H6" s="8">
        <f>' MONTHLY RETURN'!H7-'RAW DATA'!$D6</f>
        <v>-1.4795297932711837</v>
      </c>
      <c r="I6" s="8">
        <f>' MONTHLY RETURN'!I7-'RAW DATA'!$D6</f>
        <v>-0.27675995946051524</v>
      </c>
      <c r="J6" s="8">
        <f>' MONTHLY RETURN'!J7-'RAW DATA'!$D6</f>
        <v>0.18421170867592984</v>
      </c>
      <c r="K6" s="8">
        <f>' MONTHLY RETURN'!K7-'RAW DATA'!$D6</f>
        <v>-3.0710343599786416</v>
      </c>
      <c r="L6" s="8">
        <f>' MONTHLY RETURN'!L7-'RAW DATA'!$D6</f>
        <v>-0.40654372784336701</v>
      </c>
      <c r="M6" s="8">
        <f>' MONTHLY RETURN'!M7-'RAW DATA'!D6</f>
        <v>0.52128585975217834</v>
      </c>
    </row>
    <row r="7" spans="1:14" x14ac:dyDescent="0.35">
      <c r="A7" s="1">
        <v>44256</v>
      </c>
      <c r="B7" s="8">
        <f>' MONTHLY RETURN'!B8-'RAW DATA'!D7</f>
        <v>4.1964738354080877</v>
      </c>
      <c r="C7" s="8">
        <f>' MONTHLY RETURN'!C8-'RAW DATA'!$D7</f>
        <v>0.62229201198056305</v>
      </c>
      <c r="D7" s="8">
        <f>' MONTHLY RETURN'!D8-'RAW DATA'!$D7</f>
        <v>11.475942782834835</v>
      </c>
      <c r="E7" s="8">
        <f>' MONTHLY RETURN'!E8-'RAW DATA'!$D7</f>
        <v>0.8810572687224516</v>
      </c>
      <c r="F7" s="8">
        <f>' MONTHLY RETURN'!F8-'RAW DATA'!$D7</f>
        <v>6.6984269088118609</v>
      </c>
      <c r="G7" s="8">
        <f>' MONTHLY RETURN'!G8-'RAW DATA'!$D7</f>
        <v>18.157572577824421</v>
      </c>
      <c r="H7" s="8">
        <f>' MONTHLY RETURN'!H8-'RAW DATA'!$D7</f>
        <v>-8.4396214770623317</v>
      </c>
      <c r="I7" s="8">
        <f>' MONTHLY RETURN'!I8-'RAW DATA'!$D7</f>
        <v>14.329828401672984</v>
      </c>
      <c r="J7" s="8">
        <f>' MONTHLY RETURN'!J8-'RAW DATA'!$D7</f>
        <v>1.6907345950309516</v>
      </c>
      <c r="K7" s="8">
        <f>' MONTHLY RETURN'!K8-'RAW DATA'!$D7</f>
        <v>9.6335751676003269</v>
      </c>
      <c r="L7" s="8">
        <f>' MONTHLY RETURN'!L8-'RAW DATA'!$D7</f>
        <v>11.994644373326357</v>
      </c>
      <c r="M7" s="8">
        <f>' MONTHLY RETURN'!M8-'RAW DATA'!D7</f>
        <v>6.7044452610742429</v>
      </c>
    </row>
    <row r="8" spans="1:14" x14ac:dyDescent="0.35">
      <c r="A8" s="1">
        <v>44287</v>
      </c>
      <c r="B8" s="8">
        <f>' MONTHLY RETURN'!B9-'RAW DATA'!D8</f>
        <v>5.6384473997188822</v>
      </c>
      <c r="C8" s="8">
        <f>' MONTHLY RETURN'!C9-'RAW DATA'!$D8</f>
        <v>7.3057249371441868</v>
      </c>
      <c r="D8" s="8">
        <f>' MONTHLY RETURN'!D9-'RAW DATA'!$D8</f>
        <v>5.2785068533100166</v>
      </c>
      <c r="E8" s="8">
        <f>' MONTHLY RETURN'!E9-'RAW DATA'!$D8</f>
        <v>7.6251259657373227</v>
      </c>
      <c r="F8" s="8">
        <f>' MONTHLY RETURN'!F9-'RAW DATA'!$D8</f>
        <v>5.5647118755805858</v>
      </c>
      <c r="G8" s="8">
        <f>' MONTHLY RETURN'!G9-'RAW DATA'!$D8</f>
        <v>6.6975023126734534</v>
      </c>
      <c r="H8" s="8">
        <f>' MONTHLY RETURN'!H9-'RAW DATA'!$D8</f>
        <v>-2.1681739032747394</v>
      </c>
      <c r="I8" s="8">
        <f>' MONTHLY RETURN'!I9-'RAW DATA'!$D8</f>
        <v>10.369585284967009</v>
      </c>
      <c r="J8" s="8">
        <f>' MONTHLY RETURN'!J9-'RAW DATA'!$D8</f>
        <v>6.9592061742006717</v>
      </c>
      <c r="K8" s="8">
        <f>' MONTHLY RETURN'!K9-'RAW DATA'!$D8</f>
        <v>-1.482660412129333</v>
      </c>
      <c r="L8" s="8">
        <f>' MONTHLY RETURN'!L9-'RAW DATA'!$D8</f>
        <v>7.5637848082810821</v>
      </c>
      <c r="M8" s="8">
        <f>' MONTHLY RETURN'!M9-'RAW DATA'!D8</f>
        <v>5.3713313896490265</v>
      </c>
    </row>
    <row r="9" spans="1:14" x14ac:dyDescent="0.35">
      <c r="A9" s="1">
        <v>44317</v>
      </c>
      <c r="B9" s="8">
        <f>' MONTHLY RETURN'!B10-'RAW DATA'!D9</f>
        <v>0.65503300752265403</v>
      </c>
      <c r="C9" s="8">
        <f>' MONTHLY RETURN'!C10-'RAW DATA'!$D9</f>
        <v>-5.5102205704128604</v>
      </c>
      <c r="D9" s="8">
        <f>' MONTHLY RETURN'!D10-'RAW DATA'!$D9</f>
        <v>4.5706371191135631</v>
      </c>
      <c r="E9" s="8">
        <f>' MONTHLY RETURN'!E10-'RAW DATA'!$D9</f>
        <v>-5.2122347066167247</v>
      </c>
      <c r="F9" s="8">
        <f>' MONTHLY RETURN'!F10-'RAW DATA'!$D9</f>
        <v>1.8763483592596941</v>
      </c>
      <c r="G9" s="8">
        <f>' MONTHLY RETURN'!G10-'RAW DATA'!$D9</f>
        <v>-1.4704352349575234</v>
      </c>
      <c r="H9" s="8">
        <f>' MONTHLY RETURN'!H10-'RAW DATA'!$D9</f>
        <v>9.2840328414767193</v>
      </c>
      <c r="I9" s="8">
        <f>' MONTHLY RETURN'!I10-'RAW DATA'!$D9</f>
        <v>1.1244656464903136</v>
      </c>
      <c r="J9" s="8">
        <f>' MONTHLY RETURN'!J10-'RAW DATA'!$D9</f>
        <v>-0.98956830082876923</v>
      </c>
      <c r="K9" s="8">
        <f>' MONTHLY RETURN'!K10-'RAW DATA'!$D9</f>
        <v>1.7175410254230083</v>
      </c>
      <c r="L9" s="8">
        <f>' MONTHLY RETURN'!L10-'RAW DATA'!$D9</f>
        <v>3.2909539429098134</v>
      </c>
      <c r="M9" s="8">
        <f>' MONTHLY RETURN'!M10-'RAW DATA'!D9</f>
        <v>0.86815201218572324</v>
      </c>
    </row>
    <row r="10" spans="1:14" x14ac:dyDescent="0.35">
      <c r="A10" s="1">
        <v>44348</v>
      </c>
      <c r="B10" s="8">
        <f>' MONTHLY RETURN'!B11-'RAW DATA'!D10</f>
        <v>1.9090955310386848</v>
      </c>
      <c r="C10" s="8">
        <f>' MONTHLY RETURN'!C11-'RAW DATA'!$D10</f>
        <v>1.2512469716402963</v>
      </c>
      <c r="D10" s="8">
        <f>' MONTHLY RETURN'!D11-'RAW DATA'!$D10</f>
        <v>-2.7284768211920607</v>
      </c>
      <c r="E10" s="8">
        <f>' MONTHLY RETURN'!E11-'RAW DATA'!$D10</f>
        <v>10.100428054000666</v>
      </c>
      <c r="F10" s="8">
        <f>' MONTHLY RETURN'!F11-'RAW DATA'!$D10</f>
        <v>4.600295355122741</v>
      </c>
      <c r="G10" s="8">
        <f>' MONTHLY RETURN'!G11-'RAW DATA'!$D10</f>
        <v>-7.039526943808383E-3</v>
      </c>
      <c r="H10" s="8">
        <f>' MONTHLY RETURN'!H11-'RAW DATA'!$D10</f>
        <v>15.419775139224544</v>
      </c>
      <c r="I10" s="8">
        <f>' MONTHLY RETURN'!I11-'RAW DATA'!$D10</f>
        <v>5.7742380150099581</v>
      </c>
      <c r="J10" s="8">
        <f>' MONTHLY RETURN'!J11-'RAW DATA'!$D10</f>
        <v>8.7494273934951785</v>
      </c>
      <c r="K10" s="8">
        <f>' MONTHLY RETURN'!K11-'RAW DATA'!$D10</f>
        <v>5.8513750731425951E-2</v>
      </c>
      <c r="L10" s="8">
        <f>' MONTHLY RETURN'!L11-'RAW DATA'!$D10</f>
        <v>-2.7871821116447371</v>
      </c>
      <c r="M10" s="8">
        <f>' MONTHLY RETURN'!M11-'RAW DATA'!D10</f>
        <v>4.0431226219444207</v>
      </c>
    </row>
    <row r="11" spans="1:14" x14ac:dyDescent="0.35">
      <c r="A11" s="1">
        <v>44378</v>
      </c>
      <c r="B11" s="8">
        <f>' MONTHLY RETURN'!B12-'RAW DATA'!D11</f>
        <v>2.7763226820324727</v>
      </c>
      <c r="C11" s="8">
        <f>' MONTHLY RETURN'!C12-'RAW DATA'!$D11</f>
        <v>5.7088165747100517</v>
      </c>
      <c r="D11" s="8">
        <f>' MONTHLY RETURN'!D12-'RAW DATA'!$D11</f>
        <v>-6.5631808278867059</v>
      </c>
      <c r="E11" s="8">
        <f>' MONTHLY RETURN'!E12-'RAW DATA'!$D11</f>
        <v>6.4971962616822365</v>
      </c>
      <c r="F11" s="8">
        <f>' MONTHLY RETURN'!F12-'RAW DATA'!$D11</f>
        <v>8.6068193926478465</v>
      </c>
      <c r="G11" s="8">
        <f>' MONTHLY RETURN'!G12-'RAW DATA'!$D11</f>
        <v>3.4566510612834112</v>
      </c>
      <c r="H11" s="8">
        <f>' MONTHLY RETURN'!H12-'RAW DATA'!$D11</f>
        <v>6.0904001092448423</v>
      </c>
      <c r="I11" s="8">
        <f>' MONTHLY RETURN'!I12-'RAW DATA'!$D11</f>
        <v>2.4703156675354609</v>
      </c>
      <c r="J11" s="8">
        <f>' MONTHLY RETURN'!J12-'RAW DATA'!$D11</f>
        <v>5.1696408056980836</v>
      </c>
      <c r="K11" s="8">
        <f>' MONTHLY RETURN'!K12-'RAW DATA'!$D11</f>
        <v>5.405179615705924</v>
      </c>
      <c r="L11" s="8">
        <f>' MONTHLY RETURN'!L12-'RAW DATA'!$D11</f>
        <v>3.3206446910180487</v>
      </c>
      <c r="M11" s="8">
        <f>' MONTHLY RETURN'!M12-'RAW DATA'!D11</f>
        <v>4.0162483351639198</v>
      </c>
    </row>
    <row r="12" spans="1:14" x14ac:dyDescent="0.35">
      <c r="A12" s="1">
        <v>44409</v>
      </c>
      <c r="B12" s="8">
        <f>' MONTHLY RETURN'!B13-'RAW DATA'!D12</f>
        <v>2.9755837095286619</v>
      </c>
      <c r="C12" s="8">
        <f>' MONTHLY RETURN'!C13-'RAW DATA'!$D12</f>
        <v>-10.183212611844915</v>
      </c>
      <c r="D12" s="8">
        <f>' MONTHLY RETURN'!D13-'RAW DATA'!$D12</f>
        <v>8.8312445351209625</v>
      </c>
      <c r="E12" s="8">
        <f>' MONTHLY RETURN'!E13-'RAW DATA'!$D12</f>
        <v>4.0929514181409887</v>
      </c>
      <c r="F12" s="8">
        <f>' MONTHLY RETURN'!F13-'RAW DATA'!$D12</f>
        <v>6.1955801918030184</v>
      </c>
      <c r="G12" s="8">
        <f>' MONTHLY RETURN'!G13-'RAW DATA'!$D12</f>
        <v>-0.61243237725834287</v>
      </c>
      <c r="H12" s="8">
        <f>' MONTHLY RETURN'!H13-'RAW DATA'!$D12</f>
        <v>6.0711374265242313</v>
      </c>
      <c r="I12" s="8">
        <f>' MONTHLY RETURN'!I13-'RAW DATA'!$D12</f>
        <v>6.4776870248424379</v>
      </c>
      <c r="J12" s="8">
        <f>' MONTHLY RETURN'!J13-'RAW DATA'!$D12</f>
        <v>5.9568890183512968</v>
      </c>
      <c r="K12" s="8">
        <f>' MONTHLY RETURN'!K13-'RAW DATA'!$D12</f>
        <v>0.74502655147816732</v>
      </c>
      <c r="L12" s="8">
        <f>' MONTHLY RETURN'!L13-'RAW DATA'!$D12</f>
        <v>0.98246714222258724</v>
      </c>
      <c r="M12" s="8">
        <f>' MONTHLY RETURN'!M13-'RAW DATA'!D12</f>
        <v>2.8557338319380436</v>
      </c>
    </row>
    <row r="13" spans="1:14" x14ac:dyDescent="0.35">
      <c r="A13" s="1">
        <v>44440</v>
      </c>
      <c r="B13" s="8">
        <f>' MONTHLY RETURN'!B14-'RAW DATA'!D13</f>
        <v>-4.9637032148580946</v>
      </c>
      <c r="C13" s="8">
        <f>' MONTHLY RETURN'!C14-'RAW DATA'!$D13</f>
        <v>0.41805028462997829</v>
      </c>
      <c r="D13" s="8">
        <f>' MONTHLY RETURN'!D14-'RAW DATA'!$D13</f>
        <v>1.6871987145152589</v>
      </c>
      <c r="E13" s="8">
        <f>' MONTHLY RETURN'!E14-'RAW DATA'!$D13</f>
        <v>-6.6635192554124423</v>
      </c>
      <c r="F13" s="8">
        <f>' MONTHLY RETURN'!F14-'RAW DATA'!$D13</f>
        <v>-1.3488232441046799</v>
      </c>
      <c r="G13" s="8">
        <f>' MONTHLY RETURN'!G14-'RAW DATA'!$D13</f>
        <v>0.63674643113895701</v>
      </c>
      <c r="H13" s="8">
        <f>' MONTHLY RETURN'!H14-'RAW DATA'!$D13</f>
        <v>-10.258069735458285</v>
      </c>
      <c r="I13" s="8">
        <f>' MONTHLY RETURN'!I14-'RAW DATA'!$D13</f>
        <v>-10.54014598540145</v>
      </c>
      <c r="J13" s="8">
        <f>' MONTHLY RETURN'!J14-'RAW DATA'!$D13</f>
        <v>-6.4329896907216577</v>
      </c>
      <c r="K13" s="8">
        <f>' MONTHLY RETURN'!K14-'RAW DATA'!$D13</f>
        <v>-1.8173235780033048</v>
      </c>
      <c r="L13" s="8">
        <f>' MONTHLY RETURN'!L14-'RAW DATA'!$D13</f>
        <v>-6.1350169482754291</v>
      </c>
      <c r="M13" s="8">
        <f>' MONTHLY RETURN'!M14-'RAW DATA'!D13</f>
        <v>-4.0453893007093047</v>
      </c>
    </row>
    <row r="14" spans="1:14" x14ac:dyDescent="0.35">
      <c r="A14" s="1">
        <v>44470</v>
      </c>
      <c r="B14" s="8">
        <f>' MONTHLY RETURN'!B15-'RAW DATA'!D14</f>
        <v>7.3582659590297972</v>
      </c>
      <c r="C14" s="8">
        <f>' MONTHLY RETURN'!C15-'RAW DATA'!$D14</f>
        <v>-3.4958221382385024</v>
      </c>
      <c r="D14" s="8">
        <f>' MONTHLY RETURN'!D15-'RAW DATA'!$D14</f>
        <v>13.115617592836459</v>
      </c>
      <c r="E14" s="8">
        <f>' MONTHLY RETURN'!E15-'RAW DATA'!$D14</f>
        <v>5.8674759736975224</v>
      </c>
      <c r="F14" s="8">
        <f>' MONTHLY RETURN'!F15-'RAW DATA'!$D14</f>
        <v>9.390583663053409</v>
      </c>
      <c r="G14" s="8">
        <f>' MONTHLY RETURN'!G15-'RAW DATA'!$D14</f>
        <v>13.821138211382111</v>
      </c>
      <c r="H14" s="8">
        <f>' MONTHLY RETURN'!H15-'RAW DATA'!$D14</f>
        <v>10.263229063373291</v>
      </c>
      <c r="I14" s="8">
        <f>' MONTHLY RETURN'!I15-'RAW DATA'!$D14</f>
        <v>-4.6611678139093389</v>
      </c>
      <c r="J14" s="8">
        <f>' MONTHLY RETURN'!J15-'RAW DATA'!$D14</f>
        <v>17.62891141472014</v>
      </c>
      <c r="K14" s="8">
        <f>' MONTHLY RETURN'!K15-'RAW DATA'!$D14</f>
        <v>2.2836538461538547</v>
      </c>
      <c r="L14" s="8">
        <f>' MONTHLY RETURN'!L15-'RAW DATA'!$D14</f>
        <v>18.260006615944423</v>
      </c>
      <c r="M14" s="8">
        <f>' MONTHLY RETURN'!M15-'RAW DATA'!D14</f>
        <v>8.2473626429013365</v>
      </c>
    </row>
    <row r="15" spans="1:14" x14ac:dyDescent="0.35">
      <c r="A15" s="1">
        <v>44501</v>
      </c>
      <c r="B15" s="8">
        <f>' MONTHLY RETURN'!B16-'RAW DATA'!D15</f>
        <v>-0.80389937397490341</v>
      </c>
      <c r="C15" s="8">
        <f>' MONTHLY RETURN'!C16-'RAW DATA'!$D15</f>
        <v>-6.0211106011932136</v>
      </c>
      <c r="D15" s="8">
        <f>' MONTHLY RETURN'!D16-'RAW DATA'!$D15</f>
        <v>-6.9150174621653182</v>
      </c>
      <c r="E15" s="8">
        <f>' MONTHLY RETURN'!E16-'RAW DATA'!$D15</f>
        <v>10.347416558596677</v>
      </c>
      <c r="F15" s="8">
        <f>' MONTHLY RETURN'!F16-'RAW DATA'!$D15</f>
        <v>9.909254344662255</v>
      </c>
      <c r="G15" s="8">
        <f>' MONTHLY RETURN'!G16-'RAW DATA'!$D15</f>
        <v>7.7674835624626182</v>
      </c>
      <c r="H15" s="8">
        <f>' MONTHLY RETURN'!H16-'RAW DATA'!$D15</f>
        <v>-2.6366349180394821</v>
      </c>
      <c r="I15" s="8">
        <f>' MONTHLY RETURN'!I16-'RAW DATA'!$D15</f>
        <v>0.27386176205146384</v>
      </c>
      <c r="J15" s="8">
        <f>' MONTHLY RETURN'!J16-'RAW DATA'!$D15</f>
        <v>-0.30910453353314438</v>
      </c>
      <c r="K15" s="8">
        <f>' MONTHLY RETURN'!K16-'RAW DATA'!$D15</f>
        <v>1.7391304347825987</v>
      </c>
      <c r="L15" s="8">
        <f>' MONTHLY RETURN'!L16-'RAW DATA'!$D15</f>
        <v>-3.5291375291375271</v>
      </c>
      <c r="M15" s="8">
        <f>' MONTHLY RETURN'!M16-'RAW DATA'!D15</f>
        <v>1.0626141618486931</v>
      </c>
    </row>
    <row r="16" spans="1:14" x14ac:dyDescent="0.35">
      <c r="A16" s="1">
        <v>44531</v>
      </c>
      <c r="B16" s="8">
        <f>' MONTHLY RETURN'!B17-'RAW DATA'!D16</f>
        <v>4.2493325725996058</v>
      </c>
      <c r="C16" s="8">
        <f>' MONTHLY RETURN'!C17-'RAW DATA'!$D16</f>
        <v>14.089684213953179</v>
      </c>
      <c r="D16" s="8">
        <f>' MONTHLY RETURN'!D17-'RAW DATA'!$D16</f>
        <v>4.0025012506260678E-2</v>
      </c>
      <c r="E16" s="8">
        <f>' MONTHLY RETURN'!E17-'RAW DATA'!$D16</f>
        <v>7.5671633574565513</v>
      </c>
      <c r="F16" s="8">
        <f>' MONTHLY RETURN'!F17-'RAW DATA'!$D16</f>
        <v>5.2398344822214495</v>
      </c>
      <c r="G16" s="8">
        <f>' MONTHLY RETURN'!G17-'RAW DATA'!$D16</f>
        <v>3.5841096536232344</v>
      </c>
      <c r="H16" s="8">
        <f>' MONTHLY RETURN'!H17-'RAW DATA'!$D16</f>
        <v>11.71222688722815</v>
      </c>
      <c r="I16" s="8">
        <f>' MONTHLY RETURN'!I17-'RAW DATA'!$D16</f>
        <v>3.6553114428478297</v>
      </c>
      <c r="J16" s="8">
        <f>' MONTHLY RETURN'!J17-'RAW DATA'!$D16</f>
        <v>1.9098847442763567</v>
      </c>
      <c r="K16" s="8">
        <f>' MONTHLY RETURN'!K17-'RAW DATA'!$D16</f>
        <v>13.126213136213137</v>
      </c>
      <c r="L16" s="8">
        <f>' MONTHLY RETURN'!L17-'RAW DATA'!$D16</f>
        <v>13.028225486879608</v>
      </c>
      <c r="M16" s="8">
        <f>' MONTHLY RETURN'!M17-'RAW DATA'!D16</f>
        <v>7.3952678417205755</v>
      </c>
    </row>
    <row r="17" spans="1:13" x14ac:dyDescent="0.35">
      <c r="A17" s="1">
        <v>44562</v>
      </c>
      <c r="B17" s="8">
        <f>' MONTHLY RETURN'!B18-'RAW DATA'!D17</f>
        <v>-4.9408085771722181</v>
      </c>
      <c r="C17" s="8">
        <f>' MONTHLY RETURN'!C18-'RAW DATA'!$D17</f>
        <v>7.5296735905044487</v>
      </c>
      <c r="D17" s="8">
        <f>' MONTHLY RETURN'!D18-'RAW DATA'!$D17</f>
        <v>4.2000000000000037</v>
      </c>
      <c r="E17" s="8">
        <f>' MONTHLY RETURN'!E18-'RAW DATA'!$D17</f>
        <v>-1.5696872125114947</v>
      </c>
      <c r="F17" s="8">
        <f>' MONTHLY RETURN'!F18-'RAW DATA'!$D17</f>
        <v>-11.021276595744677</v>
      </c>
      <c r="G17" s="8">
        <f>' MONTHLY RETURN'!G18-'RAW DATA'!$D17</f>
        <v>-11.205996519876859</v>
      </c>
      <c r="H17" s="8">
        <f>' MONTHLY RETURN'!H18-'RAW DATA'!$D17</f>
        <v>-11.161217587373173</v>
      </c>
      <c r="I17" s="8">
        <f>' MONTHLY RETURN'!I18-'RAW DATA'!$D17</f>
        <v>-6.864858391713069</v>
      </c>
      <c r="J17" s="8">
        <f>' MONTHLY RETURN'!J18-'RAW DATA'!$D17</f>
        <v>-7.5348780038104746</v>
      </c>
      <c r="K17" s="8">
        <f>' MONTHLY RETURN'!K18-'RAW DATA'!$D17</f>
        <v>-1.9124753283876639</v>
      </c>
      <c r="L17" s="8">
        <f>' MONTHLY RETURN'!L18-'RAW DATA'!$D17</f>
        <v>-5.5812064469240363</v>
      </c>
      <c r="M17" s="8">
        <f>' MONTHLY RETURN'!M18-'RAW DATA'!D17</f>
        <v>-4.5121922495837001</v>
      </c>
    </row>
    <row r="18" spans="1:13" x14ac:dyDescent="0.35">
      <c r="A18" s="1">
        <v>44593</v>
      </c>
      <c r="B18" s="8">
        <f>' MONTHLY RETURN'!B19-'RAW DATA'!D18</f>
        <v>-2.9512665068847199</v>
      </c>
      <c r="C18" s="8">
        <f>' MONTHLY RETURN'!C19-'RAW DATA'!$D18</f>
        <v>-6.492955130416334</v>
      </c>
      <c r="D18" s="8">
        <f>' MONTHLY RETURN'!D19-'RAW DATA'!$D18</f>
        <v>-4.1986564299424156</v>
      </c>
      <c r="E18" s="8">
        <f>' MONTHLY RETURN'!E19-'RAW DATA'!$D18</f>
        <v>-5.5260237163385799</v>
      </c>
      <c r="F18" s="8">
        <f>' MONTHLY RETURN'!F19-'RAW DATA'!$D18</f>
        <v>2.7966647952924584</v>
      </c>
      <c r="G18" s="8">
        <f>' MONTHLY RETURN'!G19-'RAW DATA'!$D18</f>
        <v>-13.93771292471887</v>
      </c>
      <c r="H18" s="8">
        <f>' MONTHLY RETURN'!H19-'RAW DATA'!$D18</f>
        <v>1.8570219966159041</v>
      </c>
      <c r="I18" s="8">
        <f>' MONTHLY RETURN'!I19-'RAW DATA'!$D18</f>
        <v>-32.633642997203381</v>
      </c>
      <c r="J18" s="8">
        <f>' MONTHLY RETURN'!J19-'RAW DATA'!$D18</f>
        <v>-3.9215686274509665</v>
      </c>
      <c r="K18" s="8">
        <f>' MONTHLY RETURN'!K19-'RAW DATA'!$D18</f>
        <v>-2.3175131834582308</v>
      </c>
      <c r="L18" s="8">
        <f>' MONTHLY RETURN'!L19-'RAW DATA'!$D18</f>
        <v>0.6972900771999857</v>
      </c>
      <c r="M18" s="8">
        <f>' MONTHLY RETURN'!M19-'RAW DATA'!D18</f>
        <v>-6.3677096140420426</v>
      </c>
    </row>
    <row r="19" spans="1:13" x14ac:dyDescent="0.35">
      <c r="A19" s="1">
        <v>44621</v>
      </c>
      <c r="B19" s="8">
        <f>' MONTHLY RETURN'!B20-'RAW DATA'!D19</f>
        <v>3.4380901651251961</v>
      </c>
      <c r="C19" s="8">
        <f>' MONTHLY RETURN'!C20-'RAW DATA'!$D19</f>
        <v>-0.95346197502836905</v>
      </c>
      <c r="D19" s="8">
        <f>' MONTHLY RETURN'!D20-'RAW DATA'!$D19</f>
        <v>-6.7618332081142096</v>
      </c>
      <c r="E19" s="8">
        <f>' MONTHLY RETURN'!E20-'RAW DATA'!$D19</f>
        <v>5.8801706547950472</v>
      </c>
      <c r="F19" s="8">
        <f>' MONTHLY RETURN'!F20-'RAW DATA'!$D19</f>
        <v>11.066386180670751</v>
      </c>
      <c r="G19" s="8">
        <f>' MONTHLY RETURN'!G20-'RAW DATA'!$D19</f>
        <v>-5.2266517200308176</v>
      </c>
      <c r="H19" s="8">
        <f>' MONTHLY RETURN'!H20-'RAW DATA'!$D19</f>
        <v>15.050458906100751</v>
      </c>
      <c r="I19" s="8">
        <f>' MONTHLY RETURN'!I20-'RAW DATA'!$D19</f>
        <v>5.3681347521114642</v>
      </c>
      <c r="J19" s="8">
        <f>' MONTHLY RETURN'!J20-'RAW DATA'!$D19</f>
        <v>3.4002075406433629</v>
      </c>
      <c r="K19" s="8">
        <f>' MONTHLY RETURN'!K20-'RAW DATA'!$D19</f>
        <v>-1.9818155988066466</v>
      </c>
      <c r="L19" s="8">
        <f>' MONTHLY RETURN'!L20-'RAW DATA'!$D19</f>
        <v>7.1674273252546161</v>
      </c>
      <c r="M19" s="8">
        <f>' MONTHLY RETURN'!M20-'RAW DATA'!D19</f>
        <v>3.3009022857595953</v>
      </c>
    </row>
    <row r="20" spans="1:13" x14ac:dyDescent="0.35">
      <c r="A20" s="1">
        <v>44652</v>
      </c>
      <c r="B20" s="8">
        <f>' MONTHLY RETURN'!B21-'RAW DATA'!D20</f>
        <v>-8.4944525069051142</v>
      </c>
      <c r="C20" s="8">
        <f>' MONTHLY RETURN'!C21-'RAW DATA'!$D20</f>
        <v>1.6788906715562657</v>
      </c>
      <c r="D20" s="8">
        <f>' MONTHLY RETURN'!D21-'RAW DATA'!$D20</f>
        <v>-13.000268600590914</v>
      </c>
      <c r="E20" s="8">
        <f>' MONTHLY RETURN'!E21-'RAW DATA'!$D20</f>
        <v>-9.7115160009343615</v>
      </c>
      <c r="F20" s="8">
        <f>' MONTHLY RETURN'!F21-'RAW DATA'!$D20</f>
        <v>-7.663588847001412</v>
      </c>
      <c r="G20" s="8">
        <f>' MONTHLY RETURN'!G21-'RAW DATA'!$D20</f>
        <v>0.96473719228209465</v>
      </c>
      <c r="H20" s="8">
        <f>' MONTHLY RETURN'!H21-'RAW DATA'!$D20</f>
        <v>2.0106125690358523</v>
      </c>
      <c r="I20" s="8">
        <f>' MONTHLY RETURN'!I21-'RAW DATA'!$D20</f>
        <v>-9.8451227243908974</v>
      </c>
      <c r="J20" s="8">
        <f>' MONTHLY RETURN'!J21-'RAW DATA'!$D20</f>
        <v>-9.9856153614558689</v>
      </c>
      <c r="K20" s="8">
        <f>' MONTHLY RETURN'!K21-'RAW DATA'!$D20</f>
        <v>5.0728313645916456</v>
      </c>
      <c r="L20" s="8">
        <f>' MONTHLY RETURN'!L21-'RAW DATA'!$D20</f>
        <v>1.678309941888223E-2</v>
      </c>
      <c r="M20" s="8">
        <f>' MONTHLY RETURN'!M21-'RAW DATA'!D20</f>
        <v>-4.0462256637488725</v>
      </c>
    </row>
    <row r="21" spans="1:13" x14ac:dyDescent="0.35">
      <c r="A21" s="1">
        <v>44682</v>
      </c>
      <c r="B21" s="8">
        <f>' MONTHLY RETURN'!B22-'RAW DATA'!D21</f>
        <v>0.19510423861048512</v>
      </c>
      <c r="C21" s="8">
        <f>' MONTHLY RETURN'!C22-'RAW DATA'!$D21</f>
        <v>-1.4106706114398382</v>
      </c>
      <c r="D21" s="8">
        <f>' MONTHLY RETURN'!D22-'RAW DATA'!$D21</f>
        <v>4.2305742513121434</v>
      </c>
      <c r="E21" s="8">
        <f>' MONTHLY RETURN'!E22-'RAW DATA'!$D21</f>
        <v>-5.6182543173145456</v>
      </c>
      <c r="F21" s="8">
        <f>' MONTHLY RETURN'!F22-'RAW DATA'!$D21</f>
        <v>-12.205302262282794</v>
      </c>
      <c r="G21" s="8">
        <f>' MONTHLY RETURN'!G22-'RAW DATA'!$D21</f>
        <v>0.74979132344865307</v>
      </c>
      <c r="H21" s="8">
        <f>' MONTHLY RETURN'!H22-'RAW DATA'!$D21</f>
        <v>7.2665322009908015</v>
      </c>
      <c r="I21" s="8">
        <f>' MONTHLY RETURN'!I22-'RAW DATA'!$D21</f>
        <v>-3.4356660638939083</v>
      </c>
      <c r="J21" s="8">
        <f>' MONTHLY RETURN'!J22-'RAW DATA'!$D21</f>
        <v>-2.0665690500966147</v>
      </c>
      <c r="K21" s="8">
        <f>' MONTHLY RETURN'!K22-'RAW DATA'!$D21</f>
        <v>-7.4029222705014144</v>
      </c>
      <c r="L21" s="8">
        <f>' MONTHLY RETURN'!L22-'RAW DATA'!$D21</f>
        <v>-2.3456790770844314</v>
      </c>
      <c r="M21" s="8">
        <f>' MONTHLY RETURN'!M22-'RAW DATA'!D21</f>
        <v>-2.2238165876861951</v>
      </c>
    </row>
    <row r="22" spans="1:13" x14ac:dyDescent="0.35">
      <c r="A22" s="1">
        <v>44713</v>
      </c>
      <c r="B22" s="8">
        <f>' MONTHLY RETURN'!B23-'RAW DATA'!D22</f>
        <v>-8.6993915418187431</v>
      </c>
      <c r="C22" s="8">
        <f>' MONTHLY RETURN'!C23-'RAW DATA'!$D22</f>
        <v>-11.902857142857144</v>
      </c>
      <c r="D22" s="8">
        <f>' MONTHLY RETURN'!D23-'RAW DATA'!$D22</f>
        <v>-16.376257032869418</v>
      </c>
      <c r="E22" s="8">
        <f>' MONTHLY RETURN'!E23-'RAW DATA'!$D22</f>
        <v>-8.0684948962115488</v>
      </c>
      <c r="F22" s="8">
        <f>' MONTHLY RETURN'!F23-'RAW DATA'!$D22</f>
        <v>2.7427308659719807</v>
      </c>
      <c r="G22" s="8">
        <f>' MONTHLY RETURN'!G23-'RAW DATA'!$D22</f>
        <v>-9.4649694856146454</v>
      </c>
      <c r="H22" s="8">
        <f>' MONTHLY RETURN'!H23-'RAW DATA'!$D22</f>
        <v>3.7293278807466401</v>
      </c>
      <c r="I22" s="8">
        <f>' MONTHLY RETURN'!I23-'RAW DATA'!$D22</f>
        <v>-16.789069162766516</v>
      </c>
      <c r="J22" s="8">
        <f>' MONTHLY RETURN'!J23-'RAW DATA'!$D22</f>
        <v>-5.3710773899848308</v>
      </c>
      <c r="K22" s="8">
        <f>' MONTHLY RETURN'!K23-'RAW DATA'!$D22</f>
        <v>-2.829918093819801</v>
      </c>
      <c r="L22" s="8">
        <f>' MONTHLY RETURN'!L23-'RAW DATA'!$D22</f>
        <v>3.3326692576925487</v>
      </c>
      <c r="M22" s="8">
        <f>' MONTHLY RETURN'!M23-'RAW DATA'!D22</f>
        <v>-6.0997915199712747</v>
      </c>
    </row>
    <row r="23" spans="1:13" x14ac:dyDescent="0.35">
      <c r="A23" s="1">
        <v>44743</v>
      </c>
      <c r="B23" s="8">
        <f>' MONTHLY RETURN'!B24-'RAW DATA'!D23</f>
        <v>9.5998524974857524</v>
      </c>
      <c r="C23" s="8">
        <f>' MONTHLY RETURN'!C24-'RAW DATA'!$D23</f>
        <v>12.060657916058984</v>
      </c>
      <c r="D23" s="8">
        <f>' MONTHLY RETURN'!D24-'RAW DATA'!$D23</f>
        <v>9.1556687898089049</v>
      </c>
      <c r="E23" s="8">
        <f>' MONTHLY RETURN'!E24-'RAW DATA'!$D23</f>
        <v>18.783568662496279</v>
      </c>
      <c r="F23" s="8">
        <f>' MONTHLY RETURN'!F24-'RAW DATA'!$D23</f>
        <v>12.859094722125134</v>
      </c>
      <c r="G23" s="8">
        <f>' MONTHLY RETURN'!G24-'RAW DATA'!$D23</f>
        <v>10.337418501142794</v>
      </c>
      <c r="H23" s="8">
        <f>' MONTHLY RETURN'!H24-'RAW DATA'!$D23</f>
        <v>1.6040901147087805</v>
      </c>
      <c r="I23" s="8">
        <f>' MONTHLY RETURN'!I24-'RAW DATA'!$D23</f>
        <v>-1.4101692374945385</v>
      </c>
      <c r="J23" s="8">
        <f>' MONTHLY RETURN'!J24-'RAW DATA'!$D23</f>
        <v>9.2268910256410184</v>
      </c>
      <c r="K23" s="8">
        <f>' MONTHLY RETURN'!K24-'RAW DATA'!$D23</f>
        <v>-3.472556287333437</v>
      </c>
      <c r="L23" s="8">
        <f>' MONTHLY RETURN'!L24-'RAW DATA'!$D23</f>
        <v>5.8866465909326893</v>
      </c>
      <c r="M23" s="8">
        <f>' MONTHLY RETURN'!M24-'RAW DATA'!D23</f>
        <v>7.5031310798086608</v>
      </c>
    </row>
    <row r="24" spans="1:13" x14ac:dyDescent="0.35">
      <c r="A24" s="1">
        <v>44774</v>
      </c>
      <c r="B24" s="8">
        <f>' MONTHLY RETURN'!B25-'RAW DATA'!D24</f>
        <v>-4.2703851149996295</v>
      </c>
      <c r="C24" s="8">
        <f>' MONTHLY RETURN'!C25-'RAW DATA'!$D24</f>
        <v>-8.3631741857171686</v>
      </c>
      <c r="D24" s="8">
        <f>' MONTHLY RETURN'!D25-'RAW DATA'!$D24</f>
        <v>-0.80548428895368274</v>
      </c>
      <c r="E24" s="8">
        <f>' MONTHLY RETURN'!E25-'RAW DATA'!$D24</f>
        <v>-3.4479412317524036</v>
      </c>
      <c r="F24" s="8">
        <f>' MONTHLY RETURN'!F25-'RAW DATA'!$D24</f>
        <v>-3.5711098860712984</v>
      </c>
      <c r="G24" s="8">
        <f>' MONTHLY RETURN'!G25-'RAW DATA'!$D24</f>
        <v>-4.3516733849003115</v>
      </c>
      <c r="H24" s="8">
        <f>' MONTHLY RETURN'!H25-'RAW DATA'!$D24</f>
        <v>-8.8209802818661966</v>
      </c>
      <c r="I24" s="8">
        <f>' MONTHLY RETURN'!I25-'RAW DATA'!$D24</f>
        <v>2.2150632911392534</v>
      </c>
      <c r="J24" s="8">
        <f>' MONTHLY RETURN'!J25-'RAW DATA'!$D24</f>
        <v>-7.0514155334823743</v>
      </c>
      <c r="K24" s="8">
        <f>' MONTHLY RETURN'!K25-'RAW DATA'!$D24</f>
        <v>-0.24548949663100048</v>
      </c>
      <c r="L24" s="8">
        <f>' MONTHLY RETURN'!L25-'RAW DATA'!$D24</f>
        <v>-4.4331012856694931</v>
      </c>
      <c r="M24" s="8">
        <f>' MONTHLY RETURN'!M25-'RAW DATA'!D24</f>
        <v>-3.8875306283904671</v>
      </c>
    </row>
    <row r="25" spans="1:13" x14ac:dyDescent="0.35">
      <c r="A25" s="1">
        <v>44805</v>
      </c>
      <c r="B25" s="8">
        <f>' MONTHLY RETURN'!B26-'RAW DATA'!D25</f>
        <v>-9.8052314187843539</v>
      </c>
      <c r="C25" s="8">
        <f>' MONTHLY RETURN'!C26-'RAW DATA'!$D25</f>
        <v>-12.530666603720151</v>
      </c>
      <c r="D25" s="8">
        <f>' MONTHLY RETURN'!D26-'RAW DATA'!$D25</f>
        <v>-10.326897001303779</v>
      </c>
      <c r="E25" s="8">
        <f>' MONTHLY RETURN'!E26-'RAW DATA'!$D25</f>
        <v>-12.16461304319669</v>
      </c>
      <c r="F25" s="8">
        <f>' MONTHLY RETURN'!F26-'RAW DATA'!$D25</f>
        <v>-9.733352485435729</v>
      </c>
      <c r="G25" s="8">
        <f>' MONTHLY RETURN'!G26-'RAW DATA'!$D25</f>
        <v>-3.8920196279034633</v>
      </c>
      <c r="H25" s="8">
        <f>' MONTHLY RETURN'!H26-'RAW DATA'!$D25</f>
        <v>7.5017815246759554</v>
      </c>
      <c r="I25" s="8">
        <f>' MONTHLY RETURN'!I26-'RAW DATA'!$D25</f>
        <v>-16.914351050679855</v>
      </c>
      <c r="J25" s="8">
        <f>' MONTHLY RETURN'!J26-'RAW DATA'!$D25</f>
        <v>-10.929443548069738</v>
      </c>
      <c r="K25" s="8">
        <f>' MONTHLY RETURN'!K26-'RAW DATA'!$D25</f>
        <v>-8.6608121827411164</v>
      </c>
      <c r="L25" s="8">
        <f>' MONTHLY RETURN'!L26-'RAW DATA'!$D25</f>
        <v>-2.9407726314496827</v>
      </c>
      <c r="M25" s="8">
        <f>' MONTHLY RETURN'!M26-'RAW DATA'!D25</f>
        <v>-8.0591146649824239</v>
      </c>
    </row>
    <row r="26" spans="1:13" x14ac:dyDescent="0.35">
      <c r="A26" s="1">
        <v>44835</v>
      </c>
      <c r="B26" s="8">
        <f>' MONTHLY RETURN'!B27-'RAW DATA'!D26</f>
        <v>8.3398337152594113</v>
      </c>
      <c r="C26" s="8">
        <f>' MONTHLY RETURN'!C27-'RAW DATA'!$D26</f>
        <v>15.187205227631768</v>
      </c>
      <c r="D26" s="8">
        <f>' MONTHLY RETURN'!D27-'RAW DATA'!$D26</f>
        <v>19.900576713819348</v>
      </c>
      <c r="E26" s="8">
        <f>' MONTHLY RETURN'!E27-'RAW DATA'!$D26</f>
        <v>10.724973513831678</v>
      </c>
      <c r="F26" s="8">
        <f>' MONTHLY RETURN'!F27-'RAW DATA'!$D26</f>
        <v>5.9580311614731061</v>
      </c>
      <c r="G26" s="8">
        <f>' MONTHLY RETURN'!G27-'RAW DATA'!$D26</f>
        <v>7.0848658219879033</v>
      </c>
      <c r="H26" s="8">
        <f>' MONTHLY RETURN'!H27-'RAW DATA'!$D26</f>
        <v>11.752342479674802</v>
      </c>
      <c r="I26" s="8">
        <f>' MONTHLY RETURN'!I27-'RAW DATA'!$D26</f>
        <v>-31.571843550541782</v>
      </c>
      <c r="J26" s="8">
        <f>' MONTHLY RETURN'!J27-'RAW DATA'!$D26</f>
        <v>-0.56065867207476838</v>
      </c>
      <c r="K26" s="8">
        <f>' MONTHLY RETURN'!K27-'RAW DATA'!$D26</f>
        <v>6.4337781629116151</v>
      </c>
      <c r="L26" s="8">
        <f>' MONTHLY RETURN'!L27-'RAW DATA'!$D26</f>
        <v>10.036231716300101</v>
      </c>
      <c r="M26" s="8">
        <f>' MONTHLY RETURN'!M27-'RAW DATA'!D26</f>
        <v>5.4945502575013769</v>
      </c>
    </row>
    <row r="27" spans="1:13" x14ac:dyDescent="0.35">
      <c r="A27" s="1">
        <v>44866</v>
      </c>
      <c r="B27" s="8">
        <f>' MONTHLY RETURN'!B28-'RAW DATA'!D27</f>
        <v>5.2708172101204278</v>
      </c>
      <c r="C27" s="8">
        <f>' MONTHLY RETURN'!C28-'RAW DATA'!$D27</f>
        <v>8.4824755801655183</v>
      </c>
      <c r="D27" s="8">
        <f>' MONTHLY RETURN'!D28-'RAW DATA'!$D27</f>
        <v>4.7220772946860015</v>
      </c>
      <c r="E27" s="8">
        <f>' MONTHLY RETURN'!E28-'RAW DATA'!$D27</f>
        <v>-3.7513089317684476</v>
      </c>
      <c r="F27" s="8">
        <f>' MONTHLY RETURN'!F28-'RAW DATA'!$D27</f>
        <v>7.4319674864526855</v>
      </c>
      <c r="G27" s="8">
        <f>' MONTHLY RETURN'!G28-'RAW DATA'!$D27</f>
        <v>9.1185725809408567</v>
      </c>
      <c r="H27" s="8">
        <f>' MONTHLY RETURN'!H28-'RAW DATA'!$D27</f>
        <v>2.1914951362695403</v>
      </c>
      <c r="I27" s="8">
        <f>' MONTHLY RETURN'!I28-'RAW DATA'!$D27</f>
        <v>26.485483731488483</v>
      </c>
      <c r="J27" s="8">
        <f>' MONTHLY RETURN'!J28-'RAW DATA'!$D27</f>
        <v>9.6228588490290612</v>
      </c>
      <c r="K27" s="8">
        <f>' MONTHLY RETURN'!K28-'RAW DATA'!$D27</f>
        <v>11.26252254447965</v>
      </c>
      <c r="L27" s="8">
        <f>' MONTHLY RETURN'!L28-'RAW DATA'!$D27</f>
        <v>-1.6222390395663409</v>
      </c>
      <c r="M27" s="8">
        <f>' MONTHLY RETURN'!M28-'RAW DATA'!D27</f>
        <v>7.394390523217699</v>
      </c>
    </row>
    <row r="28" spans="1:13" x14ac:dyDescent="0.35">
      <c r="A28" s="1">
        <v>44896</v>
      </c>
      <c r="B28" s="8">
        <f>' MONTHLY RETURN'!B29-'RAW DATA'!D28</f>
        <v>-6.5232837733914444</v>
      </c>
      <c r="C28" s="8">
        <f>' MONTHLY RETURN'!C29-'RAW DATA'!$D28</f>
        <v>-2.7609329062517927</v>
      </c>
      <c r="D28" s="8">
        <f>' MONTHLY RETURN'!D29-'RAW DATA'!$D28</f>
        <v>-12.808435882691198</v>
      </c>
      <c r="E28" s="8">
        <f>' MONTHLY RETURN'!E29-'RAW DATA'!$D28</f>
        <v>-12.411873755065598</v>
      </c>
      <c r="F28" s="8">
        <f>' MONTHLY RETURN'!F29-'RAW DATA'!$D28</f>
        <v>-15.674877624068875</v>
      </c>
      <c r="G28" s="8">
        <f>' MONTHLY RETURN'!G29-'RAW DATA'!$D28</f>
        <v>-2.2503056402694375</v>
      </c>
      <c r="H28" s="8">
        <f>' MONTHLY RETURN'!H29-'RAW DATA'!$D28</f>
        <v>-1.4673699357981049</v>
      </c>
      <c r="I28" s="8">
        <f>' MONTHLY RETURN'!I29-'RAW DATA'!$D28</f>
        <v>1.5714324693042316</v>
      </c>
      <c r="J28" s="8">
        <f>' MONTHLY RETURN'!J29-'RAW DATA'!$D28</f>
        <v>-6.0688924661944563</v>
      </c>
      <c r="K28" s="8">
        <f>' MONTHLY RETURN'!K29-'RAW DATA'!$D28</f>
        <v>1.272213968392685</v>
      </c>
      <c r="L28" s="8">
        <f>' MONTHLY RETURN'!L29-'RAW DATA'!$D28</f>
        <v>-3.539207853757623</v>
      </c>
      <c r="M28" s="8">
        <f>' MONTHLY RETURN'!M29-'RAW DATA'!D28</f>
        <v>-5.4138249626400174</v>
      </c>
    </row>
    <row r="29" spans="1:13" x14ac:dyDescent="0.35">
      <c r="A29" s="1">
        <v>44927</v>
      </c>
      <c r="B29" s="8">
        <f>' MONTHLY RETURN'!B30-'RAW DATA'!D29</f>
        <v>6.4270672787888845</v>
      </c>
      <c r="C29" s="8">
        <f>' MONTHLY RETURN'!C30-'RAW DATA'!$D29</f>
        <v>6.2275589166373608</v>
      </c>
      <c r="D29" s="8">
        <f>' MONTHLY RETURN'!D30-'RAW DATA'!$D29</f>
        <v>7.4029566360052375</v>
      </c>
      <c r="E29" s="8">
        <f>' MONTHLY RETURN'!E30-'RAW DATA'!$D29</f>
        <v>10.704687500000004</v>
      </c>
      <c r="F29" s="8">
        <f>' MONTHLY RETURN'!F30-'RAW DATA'!$D29</f>
        <v>11.619191388215928</v>
      </c>
      <c r="G29" s="8">
        <f>' MONTHLY RETURN'!G30-'RAW DATA'!$D29</f>
        <v>2.2810394314221329</v>
      </c>
      <c r="H29" s="8">
        <f>' MONTHLY RETURN'!H30-'RAW DATA'!$D29</f>
        <v>-6.2786214135759293</v>
      </c>
      <c r="I29" s="8">
        <f>' MONTHLY RETURN'!I30-'RAW DATA'!$D29</f>
        <v>23.438804284160302</v>
      </c>
      <c r="J29" s="8">
        <f>' MONTHLY RETURN'!J30-'RAW DATA'!$D29</f>
        <v>2.9802023738365659</v>
      </c>
      <c r="K29" s="8">
        <f>' MONTHLY RETURN'!K30-'RAW DATA'!$D29</f>
        <v>-6.4069134829044465</v>
      </c>
      <c r="L29" s="8">
        <f>' MONTHLY RETURN'!L30-'RAW DATA'!$D29</f>
        <v>-5.9040011191941844</v>
      </c>
      <c r="M29" s="8">
        <f>' MONTHLY RETURN'!M30-'RAW DATA'!D29</f>
        <v>4.6064904514602967</v>
      </c>
    </row>
    <row r="30" spans="1:13" x14ac:dyDescent="0.35">
      <c r="A30" s="1">
        <v>44958</v>
      </c>
      <c r="B30" s="8">
        <f>' MONTHLY RETURN'!B31-'RAW DATA'!D30</f>
        <v>-2.8557393663305493</v>
      </c>
      <c r="C30" s="8">
        <f>' MONTHLY RETURN'!C31-'RAW DATA'!$D30</f>
        <v>-4.3168976897689877</v>
      </c>
      <c r="D30" s="8">
        <f>' MONTHLY RETURN'!D31-'RAW DATA'!$D30</f>
        <v>-3.6936585365853576</v>
      </c>
      <c r="E30" s="8">
        <f>' MONTHLY RETURN'!E31-'RAW DATA'!$D30</f>
        <v>1.819690467815678</v>
      </c>
      <c r="F30" s="8">
        <f>' MONTHLY RETURN'!F31-'RAW DATA'!$D30</f>
        <v>-5.6144381621114166</v>
      </c>
      <c r="G30" s="8">
        <f>' MONTHLY RETURN'!G31-'RAW DATA'!$D30</f>
        <v>-8.8631056066054192</v>
      </c>
      <c r="H30" s="8">
        <f>' MONTHLY RETURN'!H31-'RAW DATA'!$D30</f>
        <v>-9.9064593685839242</v>
      </c>
      <c r="I30" s="8">
        <f>' MONTHLY RETURN'!I31-'RAW DATA'!$D30</f>
        <v>17.092743003920503</v>
      </c>
      <c r="J30" s="8">
        <f>' MONTHLY RETURN'!J31-'RAW DATA'!$D30</f>
        <v>0.31283860837945793</v>
      </c>
      <c r="K30" s="8">
        <f>' MONTHLY RETURN'!K31-'RAW DATA'!$D30</f>
        <v>-3.1173538837173815</v>
      </c>
      <c r="L30" s="8">
        <f>' MONTHLY RETURN'!L31-'RAW DATA'!$D30</f>
        <v>-4.9975110565630461</v>
      </c>
      <c r="M30" s="8">
        <f>' MONTHLY RETURN'!M31-'RAW DATA'!D30</f>
        <v>-2.1284152223819892</v>
      </c>
    </row>
    <row r="31" spans="1:13" x14ac:dyDescent="0.35">
      <c r="A31" s="1">
        <v>44986</v>
      </c>
      <c r="B31" s="8">
        <f>' MONTHLY RETURN'!B32-'RAW DATA'!D31</f>
        <v>2.9531185844424983</v>
      </c>
      <c r="C31" s="8">
        <f>' MONTHLY RETURN'!C32-'RAW DATA'!$D31</f>
        <v>1.9256160852380291</v>
      </c>
      <c r="D31" s="8">
        <f>' MONTHLY RETURN'!D32-'RAW DATA'!$D31</f>
        <v>-16.953059936908517</v>
      </c>
      <c r="E31" s="8">
        <f>' MONTHLY RETURN'!E32-'RAW DATA'!$D31</f>
        <v>11.676909516595508</v>
      </c>
      <c r="F31" s="8">
        <f>' MONTHLY RETURN'!F32-'RAW DATA'!$D31</f>
        <v>2.4391466804576871</v>
      </c>
      <c r="G31" s="8">
        <f>' MONTHLY RETURN'!G32-'RAW DATA'!$D31</f>
        <v>-0.83677973504148828</v>
      </c>
      <c r="H31" s="8">
        <f>' MONTHLY RETURN'!H32-'RAW DATA'!$D31</f>
        <v>10.340184259015533</v>
      </c>
      <c r="I31" s="8">
        <f>' MONTHLY RETURN'!I32-'RAW DATA'!$D31</f>
        <v>20.787758015311127</v>
      </c>
      <c r="J31" s="8">
        <f>' MONTHLY RETURN'!J32-'RAW DATA'!$D31</f>
        <v>15.5143842364532</v>
      </c>
      <c r="K31" s="8">
        <f>' MONTHLY RETURN'!K32-'RAW DATA'!$D31</f>
        <v>7.7313514361952604</v>
      </c>
      <c r="L31" s="8">
        <f>' MONTHLY RETURN'!L32-'RAW DATA'!$D31</f>
        <v>-1.0635688920454587</v>
      </c>
      <c r="M31" s="8">
        <f>' MONTHLY RETURN'!M32-'RAW DATA'!D31</f>
        <v>5.1561941665270874</v>
      </c>
    </row>
    <row r="32" spans="1:13" x14ac:dyDescent="0.35">
      <c r="A32" s="1">
        <v>45017</v>
      </c>
      <c r="B32" s="8">
        <f>' MONTHLY RETURN'!B33-'RAW DATA'!D32</f>
        <v>1.637142022209243</v>
      </c>
      <c r="C32" s="8">
        <f>' MONTHLY RETURN'!C33-'RAW DATA'!$D32</f>
        <v>4.2226926523297355</v>
      </c>
      <c r="D32" s="8">
        <f>' MONTHLY RETURN'!D33-'RAW DATA'!$D32</f>
        <v>2.6757186081694253</v>
      </c>
      <c r="E32" s="8">
        <f>' MONTHLY RETURN'!E33-'RAW DATA'!$D32</f>
        <v>2.5448985863552545</v>
      </c>
      <c r="F32" s="8">
        <f>' MONTHLY RETURN'!F33-'RAW DATA'!$D32</f>
        <v>0.92866515742254285</v>
      </c>
      <c r="G32" s="8">
        <f>' MONTHLY RETURN'!G33-'RAW DATA'!$D32</f>
        <v>2.2245108795026671</v>
      </c>
      <c r="H32" s="8">
        <f>' MONTHLY RETURN'!H33-'RAW DATA'!$D32</f>
        <v>14.921668053739142</v>
      </c>
      <c r="I32" s="8">
        <f>' MONTHLY RETURN'!I33-'RAW DATA'!$D32</f>
        <v>13.039081579322483</v>
      </c>
      <c r="J32" s="8">
        <f>' MONTHLY RETURN'!J33-'RAW DATA'!$D32</f>
        <v>6.2288075247103842</v>
      </c>
      <c r="K32" s="8">
        <f>' MONTHLY RETURN'!K33-'RAW DATA'!$D32</f>
        <v>4.8195345966746634</v>
      </c>
      <c r="L32" s="8">
        <f>' MONTHLY RETURN'!L33-'RAW DATA'!$D32</f>
        <v>4.1471948411900224</v>
      </c>
      <c r="M32" s="8">
        <f>' MONTHLY RETURN'!M33-'RAW DATA'!D32</f>
        <v>5.5752772479416324</v>
      </c>
    </row>
    <row r="33" spans="1:13" x14ac:dyDescent="0.35">
      <c r="A33" s="1">
        <v>45047</v>
      </c>
      <c r="B33" s="8">
        <f>' MONTHLY RETURN'!B34-'RAW DATA'!D33</f>
        <v>0.10094431294381173</v>
      </c>
      <c r="C33" s="8">
        <f>' MONTHLY RETURN'!C34-'RAW DATA'!$D33</f>
        <v>-4.1570277145534913</v>
      </c>
      <c r="D33" s="8">
        <f>' MONTHLY RETURN'!D34-'RAW DATA'!$D33</f>
        <v>-5.4627900146842778</v>
      </c>
      <c r="E33" s="8">
        <f>' MONTHLY RETURN'!E34-'RAW DATA'!$D33</f>
        <v>4.1020990382892242</v>
      </c>
      <c r="F33" s="8">
        <f>' MONTHLY RETURN'!F34-'RAW DATA'!$D33</f>
        <v>1.2978359135690056</v>
      </c>
      <c r="G33" s="8">
        <f>' MONTHLY RETURN'!G34-'RAW DATA'!$D33</f>
        <v>-6.0464772362651091</v>
      </c>
      <c r="H33" s="8">
        <f>' MONTHLY RETURN'!H34-'RAW DATA'!$D33</f>
        <v>8.1284740343458282</v>
      </c>
      <c r="I33" s="8">
        <f>' MONTHLY RETURN'!I34-'RAW DATA'!$D33</f>
        <v>9.7929436413157376</v>
      </c>
      <c r="J33" s="8">
        <f>' MONTHLY RETURN'!J34-'RAW DATA'!$D33</f>
        <v>6.5174099188937618</v>
      </c>
      <c r="K33" s="8">
        <f>' MONTHLY RETURN'!K34-'RAW DATA'!$D33</f>
        <v>-8.6651432516396234</v>
      </c>
      <c r="L33" s="8">
        <f>' MONTHLY RETURN'!L34-'RAW DATA'!$D33</f>
        <v>-1.3460751641676103</v>
      </c>
      <c r="M33" s="8">
        <f>' MONTHLY RETURN'!M34-'RAW DATA'!D33</f>
        <v>0.4161249165103445</v>
      </c>
    </row>
    <row r="34" spans="1:13" x14ac:dyDescent="0.35">
      <c r="A34" s="1">
        <v>45078</v>
      </c>
      <c r="B34" s="8">
        <f>' MONTHLY RETURN'!B35-'RAW DATA'!D34</f>
        <v>5.6863095238095296</v>
      </c>
      <c r="C34" s="8">
        <f>' MONTHLY RETURN'!C35-'RAW DATA'!$D34</f>
        <v>7.346263256046992</v>
      </c>
      <c r="D34" s="8">
        <f>' MONTHLY RETURN'!D35-'RAW DATA'!$D34</f>
        <v>2.8495164410057954</v>
      </c>
      <c r="E34" s="8">
        <f>' MONTHLY RETURN'!E35-'RAW DATA'!$D34</f>
        <v>9.1837145471180168</v>
      </c>
      <c r="F34" s="8">
        <f>' MONTHLY RETURN'!F35-'RAW DATA'!$D34</f>
        <v>5.0604312152615183</v>
      </c>
      <c r="G34" s="8">
        <f>' MONTHLY RETURN'!G35-'RAW DATA'!$D34</f>
        <v>9.9802827549708919</v>
      </c>
      <c r="H34" s="8">
        <f>' MONTHLY RETURN'!H35-'RAW DATA'!$D34</f>
        <v>9.0856681085706104</v>
      </c>
      <c r="I34" s="8">
        <f>' MONTHLY RETURN'!I35-'RAW DATA'!$D34</f>
        <v>8.010681679853926</v>
      </c>
      <c r="J34" s="8">
        <f>' MONTHLY RETURN'!J35-'RAW DATA'!$D34</f>
        <v>3.5249836718191268</v>
      </c>
      <c r="K34" s="8">
        <f>' MONTHLY RETURN'!K35-'RAW DATA'!$D34</f>
        <v>6.089986447824125</v>
      </c>
      <c r="L34" s="8">
        <f>' MONTHLY RETURN'!L35-'RAW DATA'!$D34</f>
        <v>-1.7545042125729047</v>
      </c>
      <c r="M34" s="8">
        <f>' MONTHLY RETURN'!M35-'RAW DATA'!D34</f>
        <v>5.9377023909898092</v>
      </c>
    </row>
    <row r="35" spans="1:13" x14ac:dyDescent="0.35">
      <c r="A35" s="1">
        <v>45108</v>
      </c>
      <c r="B35" s="8">
        <f>' MONTHLY RETURN'!B36-'RAW DATA'!D35</f>
        <v>3.2064268013279165</v>
      </c>
      <c r="C35" s="8">
        <f>' MONTHLY RETURN'!C36-'RAW DATA'!$D35</f>
        <v>-0.20200206664944781</v>
      </c>
      <c r="D35" s="8">
        <f>' MONTHLY RETURN'!D36-'RAW DATA'!$D35</f>
        <v>11.989115773698007</v>
      </c>
      <c r="E35" s="8">
        <f>' MONTHLY RETURN'!E36-'RAW DATA'!$D35</f>
        <v>0.82843873930286738</v>
      </c>
      <c r="F35" s="8">
        <f>' MONTHLY RETURN'!F36-'RAW DATA'!$D35</f>
        <v>3.6910065831386731</v>
      </c>
      <c r="G35" s="8">
        <f>' MONTHLY RETURN'!G36-'RAW DATA'!$D35</f>
        <v>7.0191780821917851</v>
      </c>
      <c r="H35" s="8">
        <f>' MONTHLY RETURN'!H36-'RAW DATA'!$D35</f>
        <v>-3.5260881363290917</v>
      </c>
      <c r="I35" s="8">
        <f>' MONTHLY RETURN'!I36-'RAW DATA'!$D35</f>
        <v>10.567930453700122</v>
      </c>
      <c r="J35" s="8">
        <f>' MONTHLY RETURN'!J36-'RAW DATA'!$D35</f>
        <v>-1.805678587460718</v>
      </c>
      <c r="K35" s="8">
        <f>' MONTHLY RETURN'!K36-'RAW DATA'!$D35</f>
        <v>2.554807692307687</v>
      </c>
      <c r="L35" s="8">
        <f>' MONTHLY RETURN'!L36-'RAW DATA'!$D35</f>
        <v>5.3358660184394449</v>
      </c>
      <c r="M35" s="8">
        <f>' MONTHLY RETURN'!M36-'RAW DATA'!D35</f>
        <v>3.6452574552339323</v>
      </c>
    </row>
    <row r="36" spans="1:13" x14ac:dyDescent="0.35">
      <c r="A36" s="1">
        <v>45139</v>
      </c>
      <c r="B36" s="8">
        <f>' MONTHLY RETURN'!B37-'RAW DATA'!D36</f>
        <v>-2.0761446163561734</v>
      </c>
      <c r="C36" s="8">
        <f>' MONTHLY RETURN'!C37-'RAW DATA'!$D36</f>
        <v>4.3585347626655837</v>
      </c>
      <c r="D36" s="8">
        <f>' MONTHLY RETURN'!D37-'RAW DATA'!$D36</f>
        <v>-10.846534488503838</v>
      </c>
      <c r="E36" s="8">
        <f>' MONTHLY RETURN'!E37-'RAW DATA'!$D36</f>
        <v>-4.8139548662991354</v>
      </c>
      <c r="F36" s="8">
        <f>' MONTHLY RETURN'!F37-'RAW DATA'!$D36</f>
        <v>-2.4817366157496688</v>
      </c>
      <c r="G36" s="8">
        <f>' MONTHLY RETURN'!G37-'RAW DATA'!$D36</f>
        <v>-1.5111516522736619</v>
      </c>
      <c r="H36" s="8">
        <f>' MONTHLY RETURN'!H37-'RAW DATA'!$D36</f>
        <v>21.472594517111627</v>
      </c>
      <c r="I36" s="8">
        <f>' MONTHLY RETURN'!I37-'RAW DATA'!$D36</f>
        <v>-7.5772796232497939</v>
      </c>
      <c r="J36" s="8">
        <f>' MONTHLY RETURN'!J37-'RAW DATA'!$D36</f>
        <v>-2.8800709908379294</v>
      </c>
      <c r="K36" s="8">
        <f>' MONTHLY RETURN'!K37-'RAW DATA'!$D36</f>
        <v>-1.0814777953188244</v>
      </c>
      <c r="L36" s="8">
        <f>' MONTHLY RETURN'!L37-'RAW DATA'!$D36</f>
        <v>-6.3334489183314355</v>
      </c>
      <c r="M36" s="8">
        <f>' MONTHLY RETURN'!M37-'RAW DATA'!D36</f>
        <v>-1.1694525670787077</v>
      </c>
    </row>
    <row r="37" spans="1:13" x14ac:dyDescent="0.35">
      <c r="A37" s="1">
        <v>45170</v>
      </c>
      <c r="B37" s="8">
        <f>' MONTHLY RETURN'!B38-'RAW DATA'!D37</f>
        <v>-5.5082951601439856</v>
      </c>
      <c r="C37" s="8">
        <f>' MONTHLY RETURN'!C38-'RAW DATA'!$D37</f>
        <v>-4.4843863099921304</v>
      </c>
      <c r="D37" s="8">
        <f>' MONTHLY RETURN'!D38-'RAW DATA'!$D37</f>
        <v>-4.1488545927854252</v>
      </c>
      <c r="E37" s="8">
        <f>' MONTHLY RETURN'!E38-'RAW DATA'!$D37</f>
        <v>-9.1736698631613081</v>
      </c>
      <c r="F37" s="8">
        <f>' MONTHLY RETURN'!F38-'RAW DATA'!$D37</f>
        <v>2.6202573418104804</v>
      </c>
      <c r="G37" s="8">
        <f>' MONTHLY RETURN'!G38-'RAW DATA'!$D37</f>
        <v>-8.3660989435712576</v>
      </c>
      <c r="H37" s="8">
        <f>' MONTHLY RETURN'!H38-'RAW DATA'!$D37</f>
        <v>-3.3030986846939534</v>
      </c>
      <c r="I37" s="8">
        <f>' MONTHLY RETURN'!I38-'RAW DATA'!$D37</f>
        <v>1.0299782194391509</v>
      </c>
      <c r="J37" s="8">
        <f>' MONTHLY RETURN'!J38-'RAW DATA'!$D37</f>
        <v>-3.8907132862784053</v>
      </c>
      <c r="K37" s="8">
        <f>' MONTHLY RETURN'!K38-'RAW DATA'!$D37</f>
        <v>-5.9283767355115007</v>
      </c>
      <c r="L37" s="8">
        <f>' MONTHLY RETURN'!L38-'RAW DATA'!$D37</f>
        <v>5.3637223676396202</v>
      </c>
      <c r="M37" s="8">
        <f>' MONTHLY RETURN'!M38-'RAW DATA'!D37</f>
        <v>-3.0281240487104735</v>
      </c>
    </row>
    <row r="38" spans="1:13" x14ac:dyDescent="0.35">
      <c r="A38" s="1">
        <v>45200</v>
      </c>
      <c r="B38" s="8">
        <f>' MONTHLY RETURN'!B39-'RAW DATA'!D38</f>
        <v>-2.295998744022028</v>
      </c>
      <c r="C38" s="8">
        <f>' MONTHLY RETURN'!C39-'RAW DATA'!$D38</f>
        <v>-5.4106760115829227</v>
      </c>
      <c r="D38" s="8">
        <f>' MONTHLY RETURN'!D39-'RAW DATA'!$D38</f>
        <v>-4.2552452684434154</v>
      </c>
      <c r="E38" s="8">
        <f>' MONTHLY RETURN'!E39-'RAW DATA'!$D38</f>
        <v>-0.72975559360056352</v>
      </c>
      <c r="F38" s="8">
        <f>' MONTHLY RETURN'!F39-'RAW DATA'!$D38</f>
        <v>-2.6863055453544025</v>
      </c>
      <c r="G38" s="8">
        <f>' MONTHLY RETURN'!G39-'RAW DATA'!$D38</f>
        <v>-6.2494570389028796</v>
      </c>
      <c r="H38" s="8">
        <f>' MONTHLY RETURN'!H39-'RAW DATA'!$D38</f>
        <v>2.6583098804660183</v>
      </c>
      <c r="I38" s="8">
        <f>' MONTHLY RETURN'!I39-'RAW DATA'!$D38</f>
        <v>-0.11780464897862175</v>
      </c>
      <c r="J38" s="8">
        <f>' MONTHLY RETURN'!J39-'RAW DATA'!$D38</f>
        <v>6.6125818088121608</v>
      </c>
      <c r="K38" s="8">
        <f>' MONTHLY RETURN'!K39-'RAW DATA'!$D38</f>
        <v>2.3879782179665172</v>
      </c>
      <c r="L38" s="8">
        <f>' MONTHLY RETURN'!L39-'RAW DATA'!$D38</f>
        <v>6.1645094288625009</v>
      </c>
      <c r="M38" s="8">
        <f>' MONTHLY RETURN'!M39-'RAW DATA'!D38</f>
        <v>-0.16258647707556084</v>
      </c>
    </row>
    <row r="39" spans="1:13" x14ac:dyDescent="0.35">
      <c r="A39" s="1">
        <v>45231</v>
      </c>
      <c r="B39" s="8">
        <f>' MONTHLY RETURN'!B40-'RAW DATA'!D39</f>
        <v>8.694970230773011</v>
      </c>
      <c r="C39" s="8">
        <f>' MONTHLY RETURN'!C40-'RAW DATA'!$D39</f>
        <v>9.6799622590645757</v>
      </c>
      <c r="D39" s="8">
        <f>' MONTHLY RETURN'!D40-'RAW DATA'!$D39</f>
        <v>15.296651947009218</v>
      </c>
      <c r="E39" s="8">
        <f>' MONTHLY RETURN'!E40-'RAW DATA'!$D39</f>
        <v>10.794092926901451</v>
      </c>
      <c r="F39" s="8">
        <f>' MONTHLY RETURN'!F40-'RAW DATA'!$D39</f>
        <v>6.8534858130058396</v>
      </c>
      <c r="G39" s="8">
        <f>' MONTHLY RETURN'!G40-'RAW DATA'!$D39</f>
        <v>9.6743620971335229</v>
      </c>
      <c r="H39" s="8">
        <f>' MONTHLY RETURN'!H40-'RAW DATA'!$D39</f>
        <v>6.2595561750357476</v>
      </c>
      <c r="I39" s="8">
        <f>' MONTHLY RETURN'!I40-'RAW DATA'!$D39</f>
        <v>8.1501464001604251</v>
      </c>
      <c r="J39" s="8">
        <f>' MONTHLY RETURN'!J40-'RAW DATA'!$D39</f>
        <v>11.627254188347798</v>
      </c>
      <c r="K39" s="8">
        <f>' MONTHLY RETURN'!K40-'RAW DATA'!$D39</f>
        <v>2.5375440591244929</v>
      </c>
      <c r="L39" s="8">
        <f>' MONTHLY RETURN'!L40-'RAW DATA'!$D39</f>
        <v>2.8102729683356658</v>
      </c>
      <c r="M39" s="8">
        <f>' MONTHLY RETURN'!M40-'RAW DATA'!D39</f>
        <v>8.368332883411874</v>
      </c>
    </row>
    <row r="40" spans="1:13" x14ac:dyDescent="0.35">
      <c r="A40" s="1">
        <v>45261</v>
      </c>
      <c r="B40" s="8">
        <f>' MONTHLY RETURN'!B41-'RAW DATA'!D40</f>
        <v>3.7134658130255596</v>
      </c>
      <c r="C40" s="8">
        <f>' MONTHLY RETURN'!C41-'RAW DATA'!$D40</f>
        <v>2.6324984699747724</v>
      </c>
      <c r="D40" s="8">
        <f>' MONTHLY RETURN'!D41-'RAW DATA'!$D40</f>
        <v>10.877665626083964</v>
      </c>
      <c r="E40" s="8">
        <f>' MONTHLY RETURN'!E41-'RAW DATA'!$D40</f>
        <v>1.0599164582557135</v>
      </c>
      <c r="F40" s="8">
        <f>' MONTHLY RETURN'!F41-'RAW DATA'!$D40</f>
        <v>11.135185431506731</v>
      </c>
      <c r="G40" s="8">
        <f>' MONTHLY RETURN'!G41-'RAW DATA'!$D40</f>
        <v>10.859452387375242</v>
      </c>
      <c r="H40" s="8">
        <f>' MONTHLY RETURN'!H41-'RAW DATA'!$D40</f>
        <v>-1.6228702796541568</v>
      </c>
      <c r="I40" s="8">
        <f>' MONTHLY RETURN'!I41-'RAW DATA'!$D40</f>
        <v>7.7637946318640711</v>
      </c>
      <c r="J40" s="8">
        <f>' MONTHLY RETURN'!J41-'RAW DATA'!$D40</f>
        <v>-0.9855704661960869</v>
      </c>
      <c r="K40" s="8">
        <f>' MONTHLY RETURN'!K41-'RAW DATA'!$D40</f>
        <v>-4.9776502656821453</v>
      </c>
      <c r="L40" s="8">
        <f>' MONTHLY RETURN'!L41-'RAW DATA'!$D40</f>
        <v>-5.2208601642904222</v>
      </c>
      <c r="M40" s="8">
        <f>' MONTHLY RETURN'!M41-'RAW DATA'!D40</f>
        <v>3.1521561829237679</v>
      </c>
    </row>
    <row r="41" spans="1:13" x14ac:dyDescent="0.35">
      <c r="A41" s="1">
        <v>45292</v>
      </c>
      <c r="B41" s="8">
        <f>' MONTHLY RETURN'!B42-'RAW DATA'!D41</f>
        <v>1.5344591640149712</v>
      </c>
      <c r="C41" s="8">
        <f>' MONTHLY RETURN'!C42-'RAW DATA'!$D41</f>
        <v>4.8577909738717269</v>
      </c>
      <c r="D41" s="8">
        <f>' MONTHLY RETURN'!D42-'RAW DATA'!$D41</f>
        <v>0.55835774384542058</v>
      </c>
      <c r="E41" s="8">
        <f>' MONTHLY RETURN'!E42-'RAW DATA'!$D41</f>
        <v>-4.6958690295181702</v>
      </c>
      <c r="F41" s="8">
        <f>' MONTHLY RETURN'!F42-'RAW DATA'!$D41</f>
        <v>7.1964836457761345</v>
      </c>
      <c r="G41" s="8">
        <f>' MONTHLY RETURN'!G42-'RAW DATA'!$D41</f>
        <v>1.3782608168706616</v>
      </c>
      <c r="H41" s="8">
        <f>' MONTHLY RETURN'!H42-'RAW DATA'!$D41</f>
        <v>10.284109767765495</v>
      </c>
      <c r="I41" s="8">
        <f>' MONTHLY RETURN'!I42-'RAW DATA'!$D41</f>
        <v>9.751906116642953</v>
      </c>
      <c r="J41" s="8">
        <f>' MONTHLY RETURN'!J42-'RAW DATA'!$D41</f>
        <v>5.2570862571521255</v>
      </c>
      <c r="K41" s="8">
        <f>' MONTHLY RETURN'!K42-'RAW DATA'!$D41</f>
        <v>6.7596124927703878</v>
      </c>
      <c r="L41" s="8">
        <f>' MONTHLY RETURN'!L42-'RAW DATA'!$D41</f>
        <v>-2.9373727636955076</v>
      </c>
      <c r="M41" s="8">
        <f>' MONTHLY RETURN'!M42-'RAW DATA'!D41</f>
        <v>3.8410366021481233</v>
      </c>
    </row>
    <row r="42" spans="1:13" x14ac:dyDescent="0.35">
      <c r="A42" s="1">
        <v>45323</v>
      </c>
      <c r="B42" s="8">
        <f>' MONTHLY RETURN'!B43-'RAW DATA'!D42</f>
        <v>4.7982585998344689</v>
      </c>
      <c r="C42" s="8">
        <f>' MONTHLY RETURN'!C43-'RAW DATA'!$D42</f>
        <v>5.4298522878470017</v>
      </c>
      <c r="D42" s="8">
        <f>' MONTHLY RETURN'!D43-'RAW DATA'!$D42</f>
        <v>1.0605675508944961</v>
      </c>
      <c r="E42" s="8">
        <f>' MONTHLY RETURN'!E43-'RAW DATA'!$D42</f>
        <v>-2.3962413094651431</v>
      </c>
      <c r="F42" s="8">
        <f>' MONTHLY RETURN'!F43-'RAW DATA'!$D42</f>
        <v>6.6335610210980205</v>
      </c>
      <c r="G42" s="8">
        <f>' MONTHLY RETURN'!G43-'RAW DATA'!$D42</f>
        <v>7.4130457547450606</v>
      </c>
      <c r="H42" s="8">
        <f>' MONTHLY RETURN'!H43-'RAW DATA'!$D42</f>
        <v>16.320226490960785</v>
      </c>
      <c r="I42" s="8">
        <f>' MONTHLY RETURN'!I43-'RAW DATA'!$D42</f>
        <v>25.21043646594223</v>
      </c>
      <c r="J42" s="8">
        <f>' MONTHLY RETURN'!J43-'RAW DATA'!$D42</f>
        <v>3.6183928115586887</v>
      </c>
      <c r="K42" s="8">
        <f>' MONTHLY RETURN'!K43-'RAW DATA'!$D42</f>
        <v>1.3666774541531961</v>
      </c>
      <c r="L42" s="8">
        <f>' MONTHLY RETURN'!L43-'RAW DATA'!$D42</f>
        <v>-3.9645560662138553</v>
      </c>
      <c r="M42" s="8">
        <f>' MONTHLY RETURN'!M43-'RAW DATA'!D42</f>
        <v>6.0691962461520479</v>
      </c>
    </row>
    <row r="43" spans="1:13" x14ac:dyDescent="0.35">
      <c r="A43" s="1">
        <v>45352</v>
      </c>
      <c r="B43" s="8">
        <f>' MONTHLY RETURN'!B44-'RAW DATA'!D43</f>
        <v>2.5206675809769732</v>
      </c>
      <c r="C43" s="8">
        <f>' MONTHLY RETURN'!C44-'RAW DATA'!$D43</f>
        <v>1.0038368451328521</v>
      </c>
      <c r="D43" s="8">
        <f>' MONTHLY RETURN'!D44-'RAW DATA'!$D43</f>
        <v>10.208297872340431</v>
      </c>
      <c r="E43" s="8">
        <f>' MONTHLY RETURN'!E44-'RAW DATA'!$D43</f>
        <v>-5.439494024349381</v>
      </c>
      <c r="F43" s="8">
        <f>' MONTHLY RETURN'!F44-'RAW DATA'!$D43</f>
        <v>-1.7992104582635922</v>
      </c>
      <c r="G43" s="8">
        <f>' MONTHLY RETURN'!G44-'RAW DATA'!$D43</f>
        <v>0.35627196733522809</v>
      </c>
      <c r="H43" s="8">
        <f>' MONTHLY RETURN'!H44-'RAW DATA'!$D43</f>
        <v>2.9726236125126007</v>
      </c>
      <c r="I43" s="8">
        <f>' MONTHLY RETURN'!I44-'RAW DATA'!$D43</f>
        <v>-1.2538653873810952</v>
      </c>
      <c r="J43" s="8">
        <f>' MONTHLY RETURN'!J44-'RAW DATA'!$D43</f>
        <v>1.4715605064285124</v>
      </c>
      <c r="K43" s="8">
        <f>' MONTHLY RETURN'!K44-'RAW DATA'!$D43</f>
        <v>1.6498834205471462</v>
      </c>
      <c r="L43" s="8">
        <f>' MONTHLY RETURN'!L44-'RAW DATA'!$D43</f>
        <v>-0.20651746747906446</v>
      </c>
      <c r="M43" s="8">
        <f>' MONTHLY RETURN'!M44-'RAW DATA'!D43</f>
        <v>0.89633868868236366</v>
      </c>
    </row>
    <row r="44" spans="1:13" x14ac:dyDescent="0.35">
      <c r="A44" s="1">
        <v>45383</v>
      </c>
      <c r="B44" s="8">
        <f>' MONTHLY RETURN'!B45-'RAW DATA'!D44</f>
        <v>-4.2039602311685762</v>
      </c>
      <c r="C44" s="8">
        <f>' MONTHLY RETURN'!C45-'RAW DATA'!$D44</f>
        <v>-6.7753980256248747</v>
      </c>
      <c r="D44" s="8">
        <f>' MONTHLY RETURN'!D45-'RAW DATA'!$D44</f>
        <v>-2.8875824175824087</v>
      </c>
      <c r="E44" s="8">
        <f>' MONTHLY RETURN'!E45-'RAW DATA'!$D44</f>
        <v>-1.1402334058439785</v>
      </c>
      <c r="F44" s="8">
        <f>' MONTHLY RETURN'!F45-'RAW DATA'!$D44</f>
        <v>-1.7975007934646088</v>
      </c>
      <c r="G44" s="8">
        <f>' MONTHLY RETURN'!G45-'RAW DATA'!$D44</f>
        <v>-12.820815723201582</v>
      </c>
      <c r="H44" s="8">
        <f>' MONTHLY RETURN'!H45-'RAW DATA'!$D44</f>
        <v>-6.6637780727093032E-2</v>
      </c>
      <c r="I44" s="8">
        <f>' MONTHLY RETURN'!I45-'RAW DATA'!$D44</f>
        <v>-11.880341398740477</v>
      </c>
      <c r="J44" s="8">
        <f>' MONTHLY RETURN'!J45-'RAW DATA'!$D44</f>
        <v>-7.9318959331583683</v>
      </c>
      <c r="K44" s="8">
        <f>' MONTHLY RETURN'!K45-'RAW DATA'!$D44</f>
        <v>0.12048731425603854</v>
      </c>
      <c r="L44" s="8">
        <f>' MONTHLY RETURN'!L45-'RAW DATA'!$D44</f>
        <v>-2.3085678524097002</v>
      </c>
      <c r="M44" s="8">
        <f>' MONTHLY RETURN'!M45-'RAW DATA'!D44</f>
        <v>-4.7488486016497049</v>
      </c>
    </row>
    <row r="45" spans="1:13" x14ac:dyDescent="0.35">
      <c r="A45" s="1">
        <v>45413</v>
      </c>
      <c r="B45" s="8">
        <f>' MONTHLY RETURN'!B46-'RAW DATA'!D45</f>
        <v>4.6191180121695607</v>
      </c>
      <c r="C45" s="8">
        <f>' MONTHLY RETURN'!C46-'RAW DATA'!$D45</f>
        <v>-1.2201291248206498</v>
      </c>
      <c r="D45" s="8">
        <f>' MONTHLY RETURN'!D46-'RAW DATA'!$D45</f>
        <v>7.6118018018018043</v>
      </c>
      <c r="E45" s="8">
        <f>' MONTHLY RETURN'!E46-'RAW DATA'!$D45</f>
        <v>12.427712340929272</v>
      </c>
      <c r="F45" s="8">
        <f>' MONTHLY RETURN'!F46-'RAW DATA'!$D45</f>
        <v>11.77313194881477</v>
      </c>
      <c r="G45" s="8">
        <f>' MONTHLY RETURN'!G46-'RAW DATA'!$D45</f>
        <v>-0.24637101811367096</v>
      </c>
      <c r="H45" s="8">
        <f>' MONTHLY RETURN'!H46-'RAW DATA'!$D45</f>
        <v>4.5830677518013463</v>
      </c>
      <c r="I45" s="8">
        <f>' MONTHLY RETURN'!I46-'RAW DATA'!$D45</f>
        <v>8.081186044336361</v>
      </c>
      <c r="J45" s="8">
        <f>' MONTHLY RETURN'!J46-'RAW DATA'!$D45</f>
        <v>6.187289758534571</v>
      </c>
      <c r="K45" s="8">
        <f>' MONTHLY RETURN'!K46-'RAW DATA'!$D45</f>
        <v>1.0307779641336627</v>
      </c>
      <c r="L45" s="8">
        <f>' MONTHLY RETURN'!L46-'RAW DATA'!$D45</f>
        <v>1.9730467393866706</v>
      </c>
      <c r="M45" s="8">
        <f>' MONTHLY RETURN'!M46-'RAW DATA'!D45</f>
        <v>5.2201514206804136</v>
      </c>
    </row>
    <row r="46" spans="1:13" x14ac:dyDescent="0.35">
      <c r="A46" s="1">
        <v>45444</v>
      </c>
      <c r="B46" s="8">
        <f>' MONTHLY RETURN'!B47-'RAW DATA'!D46</f>
        <v>2.7841888619854807</v>
      </c>
      <c r="C46" s="8">
        <f>' MONTHLY RETURN'!C47-'RAW DATA'!$D46</f>
        <v>-1.7317352010845062</v>
      </c>
      <c r="D46" s="8">
        <f>' MONTHLY RETURN'!D47-'RAW DATA'!$D46</f>
        <v>-0.95715997915580897</v>
      </c>
      <c r="E46" s="8">
        <f>' MONTHLY RETURN'!E47-'RAW DATA'!$D46</f>
        <v>9.2968540563217665</v>
      </c>
      <c r="F46" s="8">
        <f>' MONTHLY RETURN'!F47-'RAW DATA'!$D46</f>
        <v>4.5402729380094256</v>
      </c>
      <c r="G46" s="8">
        <f>' MONTHLY RETURN'!G47-'RAW DATA'!$D46</f>
        <v>3.1028732622654367</v>
      </c>
      <c r="H46" s="8">
        <f>' MONTHLY RETURN'!H47-'RAW DATA'!$D46</f>
        <v>10.145281342546907</v>
      </c>
      <c r="I46" s="8">
        <f>' MONTHLY RETURN'!I47-'RAW DATA'!$D46</f>
        <v>7.5993949319082859</v>
      </c>
      <c r="J46" s="8">
        <f>' MONTHLY RETURN'!J47-'RAW DATA'!$D46</f>
        <v>7.4476832035920806</v>
      </c>
      <c r="K46" s="8">
        <f>' MONTHLY RETURN'!K47-'RAW DATA'!$D46</f>
        <v>-0.18113795295613483</v>
      </c>
      <c r="L46" s="8">
        <f>' MONTHLY RETURN'!L47-'RAW DATA'!$D46</f>
        <v>2.3939925505869644</v>
      </c>
      <c r="M46" s="8">
        <f>' MONTHLY RETURN'!M47-'RAW DATA'!D46</f>
        <v>4.1656319152034413</v>
      </c>
    </row>
    <row r="47" spans="1:13" x14ac:dyDescent="0.35">
      <c r="A47" s="1">
        <v>45474</v>
      </c>
      <c r="B47" s="8">
        <f>' MONTHLY RETURN'!B48-'RAW DATA'!D47</f>
        <v>1.0873352855051037</v>
      </c>
      <c r="C47" s="8">
        <f>' MONTHLY RETURN'!C48-'RAW DATA'!$D47</f>
        <v>4.6627647395535101</v>
      </c>
      <c r="D47" s="8">
        <f>' MONTHLY RETURN'!D48-'RAW DATA'!$D47</f>
        <v>1.5410924810060183</v>
      </c>
      <c r="E47" s="8">
        <f>' MONTHLY RETURN'!E48-'RAW DATA'!$D47</f>
        <v>4.9897705544933171</v>
      </c>
      <c r="F47" s="8">
        <f>' MONTHLY RETURN'!F48-'RAW DATA'!$D47</f>
        <v>-3.7429580809880068</v>
      </c>
      <c r="G47" s="8">
        <f>' MONTHLY RETURN'!G48-'RAW DATA'!$D47</f>
        <v>6.4999232135866949</v>
      </c>
      <c r="H47" s="8">
        <f>' MONTHLY RETURN'!H48-'RAW DATA'!$D47</f>
        <v>-11.618158582047915</v>
      </c>
      <c r="I47" s="8">
        <f>' MONTHLY RETURN'!I48-'RAW DATA'!$D47</f>
        <v>-6.183665835411472</v>
      </c>
      <c r="J47" s="8">
        <f>' MONTHLY RETURN'!J48-'RAW DATA'!$D47</f>
        <v>-6.8483348039548533</v>
      </c>
      <c r="K47" s="8">
        <f>' MONTHLY RETURN'!K48-'RAW DATA'!$D47</f>
        <v>-2.9744196371939533</v>
      </c>
      <c r="L47" s="8">
        <f>' MONTHLY RETURN'!L48-'RAW DATA'!$D47</f>
        <v>13.165176372407323</v>
      </c>
      <c r="M47" s="8">
        <f>' MONTHLY RETURN'!M48-'RAW DATA'!D47</f>
        <v>-5.0880957854933795E-2</v>
      </c>
    </row>
    <row r="48" spans="1:13" x14ac:dyDescent="0.35">
      <c r="A48" s="1">
        <v>45505</v>
      </c>
      <c r="B48" s="8">
        <f>' MONTHLY RETURN'!B49-'RAW DATA'!D48</f>
        <v>1.8567163958368131</v>
      </c>
      <c r="C48" s="8">
        <f>' MONTHLY RETURN'!C49-'RAW DATA'!$D48</f>
        <v>3.9070349394441233</v>
      </c>
      <c r="D48" s="8">
        <f>' MONTHLY RETURN'!D49-'RAW DATA'!$D48</f>
        <v>0.59885949139481243</v>
      </c>
      <c r="E48" s="8">
        <f>' MONTHLY RETURN'!E49-'RAW DATA'!$D48</f>
        <v>2.6390497778583737</v>
      </c>
      <c r="F48" s="8">
        <f>' MONTHLY RETURN'!F49-'RAW DATA'!$D48</f>
        <v>8.2371678720974408</v>
      </c>
      <c r="G48" s="8">
        <f>' MONTHLY RETURN'!G49-'RAW DATA'!$D48</f>
        <v>-0.38990230030689643</v>
      </c>
      <c r="H48" s="8">
        <f>' MONTHLY RETURN'!H49-'RAW DATA'!$D48</f>
        <v>18.885984821832427</v>
      </c>
      <c r="I48" s="8">
        <f>' MONTHLY RETURN'!I49-'RAW DATA'!$D48</f>
        <v>9.3081526316903265</v>
      </c>
      <c r="J48" s="8">
        <f>' MONTHLY RETURN'!J49-'RAW DATA'!$D48</f>
        <v>-0.77005825336587685</v>
      </c>
      <c r="K48" s="8">
        <f>' MONTHLY RETURN'!K49-'RAW DATA'!$D48</f>
        <v>6.8729411764705848</v>
      </c>
      <c r="L48" s="8">
        <f>' MONTHLY RETURN'!L49-'RAW DATA'!$D48</f>
        <v>1.9582815579203854</v>
      </c>
      <c r="M48" s="8">
        <f>' MONTHLY RETURN'!M49-'RAW DATA'!D48</f>
        <v>5.1247511715035703</v>
      </c>
    </row>
    <row r="49" spans="1:13" x14ac:dyDescent="0.35">
      <c r="A49" s="1">
        <v>45536</v>
      </c>
      <c r="B49" s="8">
        <f>' MONTHLY RETURN'!B50-'RAW DATA'!D49</f>
        <v>1.3883917119785985</v>
      </c>
      <c r="C49" s="8">
        <f>' MONTHLY RETURN'!C50-'RAW DATA'!$D49</f>
        <v>1.763933057885714</v>
      </c>
      <c r="D49" s="8">
        <f>' MONTHLY RETURN'!D50-'RAW DATA'!$D49</f>
        <v>-3.0175349428208427</v>
      </c>
      <c r="E49" s="8">
        <f>' MONTHLY RETURN'!E50-'RAW DATA'!$D49</f>
        <v>1.4640640112547179</v>
      </c>
      <c r="F49" s="8">
        <f>' MONTHLY RETURN'!F50-'RAW DATA'!$D49</f>
        <v>-1.0562302340290983</v>
      </c>
      <c r="G49" s="8">
        <f>' MONTHLY RETURN'!G50-'RAW DATA'!$D49</f>
        <v>10.227584460884964</v>
      </c>
      <c r="H49" s="8">
        <f>' MONTHLY RETURN'!H50-'RAW DATA'!$D49</f>
        <v>-7.9872885548573187</v>
      </c>
      <c r="I49" s="8">
        <f>' MONTHLY RETURN'!I50-'RAW DATA'!$D49</f>
        <v>9.4080037011334614</v>
      </c>
      <c r="J49" s="8">
        <f>' MONTHLY RETURN'!J50-'RAW DATA'!$D49</f>
        <v>2.9429492618360924</v>
      </c>
      <c r="K49" s="8">
        <f>' MONTHLY RETURN'!K50-'RAW DATA'!$D49</f>
        <v>0.56375318220389681</v>
      </c>
      <c r="L49" s="8">
        <f>' MONTHLY RETURN'!L50-'RAW DATA'!$D49</f>
        <v>-1.3356581961908918</v>
      </c>
      <c r="M49" s="8">
        <f>' MONTHLY RETURN'!M50-'RAW DATA'!D49</f>
        <v>1.2973575747300692</v>
      </c>
    </row>
    <row r="50" spans="1:13" x14ac:dyDescent="0.35">
      <c r="A50" s="1">
        <v>45566</v>
      </c>
      <c r="B50" s="8">
        <f>' MONTHLY RETURN'!B51-'RAW DATA'!D50</f>
        <v>-0.97920616891761081</v>
      </c>
      <c r="C50" s="8">
        <f>' MONTHLY RETURN'!C51-'RAW DATA'!$D50</f>
        <v>0.78240956718887023</v>
      </c>
      <c r="D50" s="8">
        <f>' MONTHLY RETURN'!D51-'RAW DATA'!$D50</f>
        <v>5.6903757828809871</v>
      </c>
      <c r="E50" s="8">
        <f>' MONTHLY RETURN'!E51-'RAW DATA'!$D50</f>
        <v>-3.4327276650841552</v>
      </c>
      <c r="F50" s="8">
        <f>' MONTHLY RETURN'!F51-'RAW DATA'!$D50</f>
        <v>-1.782757660167132</v>
      </c>
      <c r="G50" s="8">
        <f>' MONTHLY RETURN'!G51-'RAW DATA'!$D50</f>
        <v>-3.2150311490833126</v>
      </c>
      <c r="H50" s="8">
        <f>' MONTHLY RETURN'!H51-'RAW DATA'!$D50</f>
        <v>-6.733330333853492</v>
      </c>
      <c r="I50" s="8">
        <f>' MONTHLY RETURN'!I51-'RAW DATA'!$D50</f>
        <v>-1.1448627203145751</v>
      </c>
      <c r="J50" s="8">
        <f>' MONTHLY RETURN'!J51-'RAW DATA'!$D50</f>
        <v>-5.9565024630541901</v>
      </c>
      <c r="K50" s="8">
        <f>' MONTHLY RETURN'!K51-'RAW DATA'!$D50</f>
        <v>-5.0186846370894971</v>
      </c>
      <c r="L50" s="8">
        <f>' MONTHLY RETURN'!L51-'RAW DATA'!$D50</f>
        <v>-3.4988906150695596</v>
      </c>
      <c r="M50" s="8">
        <f>' MONTHLY RETURN'!M51-'RAW DATA'!D50</f>
        <v>-2.4310001893646058</v>
      </c>
    </row>
    <row r="51" spans="1:13" x14ac:dyDescent="0.35">
      <c r="A51" s="1">
        <v>45597</v>
      </c>
      <c r="B51" s="8">
        <f>' MONTHLY RETURN'!B52-'RAW DATA'!D51</f>
        <v>5.5644738016602746</v>
      </c>
      <c r="C51" s="8">
        <f>' MONTHLY RETURN'!C52-'RAW DATA'!$D51</f>
        <v>6.4176771041527969</v>
      </c>
      <c r="D51" s="8">
        <f>' MONTHLY RETURN'!D52-'RAW DATA'!$D51</f>
        <v>13.203936039360388</v>
      </c>
      <c r="E51" s="8">
        <f>' MONTHLY RETURN'!E52-'RAW DATA'!$D51</f>
        <v>4.6523035833518689</v>
      </c>
      <c r="F51" s="8">
        <f>' MONTHLY RETURN'!F52-'RAW DATA'!$D51</f>
        <v>10.776063645797306</v>
      </c>
      <c r="G51" s="8">
        <f>' MONTHLY RETURN'!G52-'RAW DATA'!$D51</f>
        <v>8.5857651245551558</v>
      </c>
      <c r="H51" s="8">
        <f>' MONTHLY RETURN'!H52-'RAW DATA'!$D51</f>
        <v>-4.5447752481027504</v>
      </c>
      <c r="I51" s="8">
        <f>' MONTHLY RETURN'!I52-'RAW DATA'!$D51</f>
        <v>0.78689638093889536</v>
      </c>
      <c r="J51" s="8">
        <f>' MONTHLY RETURN'!J52-'RAW DATA'!$D51</f>
        <v>3.8104478724197093</v>
      </c>
      <c r="K51" s="8">
        <f>' MONTHLY RETURN'!K52-'RAW DATA'!$D51</f>
        <v>8.7590079315120075</v>
      </c>
      <c r="L51" s="8">
        <f>' MONTHLY RETURN'!L52-'RAW DATA'!$D51</f>
        <v>7.6954029480895692</v>
      </c>
      <c r="M51" s="8">
        <f>' MONTHLY RETURN'!M52-'RAW DATA'!D51</f>
        <v>6.0142725382074937</v>
      </c>
    </row>
    <row r="52" spans="1:13" x14ac:dyDescent="0.35">
      <c r="A52" s="1">
        <v>45627</v>
      </c>
      <c r="B52" s="8">
        <f>' MONTHLY RETURN'!B53-'RAW DATA'!D52</f>
        <v>-3.1043486757867575</v>
      </c>
      <c r="C52" s="8">
        <f>' MONTHLY RETURN'!C53-'RAW DATA'!$D52</f>
        <v>-1.5644811944812005</v>
      </c>
      <c r="D52" s="8">
        <f>' MONTHLY RETURN'!D53-'RAW DATA'!$D52</f>
        <v>-7.8624209614551814</v>
      </c>
      <c r="E52" s="8">
        <f>' MONTHLY RETURN'!E53-'RAW DATA'!$D52</f>
        <v>5.2613559322033856</v>
      </c>
      <c r="F52" s="8">
        <f>' MONTHLY RETURN'!F53-'RAW DATA'!$D52</f>
        <v>-5.9661751864181847</v>
      </c>
      <c r="G52" s="8">
        <f>' MONTHLY RETURN'!G53-'RAW DATA'!$D52</f>
        <v>-9.2463505402160937</v>
      </c>
      <c r="H52" s="8">
        <f>' MONTHLY RETURN'!H53-'RAW DATA'!$D52</f>
        <v>-3.1460860738936245</v>
      </c>
      <c r="I52" s="8">
        <f>' MONTHLY RETURN'!I53-'RAW DATA'!$D52</f>
        <v>1.5791303207761713</v>
      </c>
      <c r="J52" s="8">
        <f>' MONTHLY RETURN'!J53-'RAW DATA'!$D52</f>
        <v>-0.6345881006864913</v>
      </c>
      <c r="K52" s="8">
        <f>' MONTHLY RETURN'!K53-'RAW DATA'!$D52</f>
        <v>-6.8459817772908069</v>
      </c>
      <c r="L52" s="8">
        <f>' MONTHLY RETURN'!L53-'RAW DATA'!$D52</f>
        <v>-17.468742541212965</v>
      </c>
      <c r="M52" s="8">
        <f>' MONTHLY RETURN'!M53-'RAW DATA'!D52</f>
        <v>-4.5894340122674997</v>
      </c>
    </row>
    <row r="53" spans="1:13" x14ac:dyDescent="0.35">
      <c r="A53" s="1">
        <v>45658</v>
      </c>
      <c r="B53" s="8">
        <f>' MONTHLY RETURN'!B54-'RAW DATA'!D53</f>
        <v>2.6611953302270877</v>
      </c>
      <c r="C53" s="8">
        <f>' MONTHLY RETURN'!C54-'RAW DATA'!$D53</f>
        <v>5.1103167680477437</v>
      </c>
      <c r="D53" s="8">
        <f>' MONTHLY RETURN'!D54-'RAW DATA'!$D53</f>
        <v>5.5522846441947529</v>
      </c>
      <c r="E53" s="8">
        <f>' MONTHLY RETURN'!E54-'RAW DATA'!$D53</f>
        <v>-6.1263480284006597</v>
      </c>
      <c r="F53" s="8">
        <f>' MONTHLY RETURN'!F54-'RAW DATA'!$D53</f>
        <v>6.5718963604205296</v>
      </c>
      <c r="G53" s="8">
        <f>' MONTHLY RETURN'!G54-'RAW DATA'!$D53</f>
        <v>5.5399412431164787</v>
      </c>
      <c r="H53" s="8">
        <f>' MONTHLY RETURN'!H54-'RAW DATA'!$D53</f>
        <v>4.6934232917471599</v>
      </c>
      <c r="I53" s="8">
        <f>' MONTHLY RETURN'!I54-'RAW DATA'!$D53</f>
        <v>17.430068587105609</v>
      </c>
      <c r="J53" s="8">
        <f>' MONTHLY RETURN'!J54-'RAW DATA'!$D53</f>
        <v>-1.8972101527210257</v>
      </c>
      <c r="K53" s="8">
        <f>' MONTHLY RETURN'!K54-'RAW DATA'!$D53</f>
        <v>-1.3565581452706883</v>
      </c>
      <c r="L53" s="8">
        <f>' MONTHLY RETURN'!L54-'RAW DATA'!$D53</f>
        <v>7.2811731934447712</v>
      </c>
      <c r="M53" s="8">
        <f>' MONTHLY RETURN'!M54-'RAW DATA'!D53</f>
        <v>4.2798987761684666</v>
      </c>
    </row>
    <row r="54" spans="1:13" x14ac:dyDescent="0.35">
      <c r="A54" s="1">
        <v>45689</v>
      </c>
      <c r="B54" s="8">
        <f>' MONTHLY RETURN'!B55-'RAW DATA'!D54</f>
        <v>-1.5992702116571254</v>
      </c>
      <c r="C54" s="8">
        <f>' MONTHLY RETURN'!C55-'RAW DATA'!$D54</f>
        <v>3.5816478972852419</v>
      </c>
      <c r="D54" s="8">
        <f>' MONTHLY RETURN'!D55-'RAW DATA'!$D54</f>
        <v>-0.74988950276242727</v>
      </c>
      <c r="E54" s="8">
        <f>' MONTHLY RETURN'!E55-'RAW DATA'!$D54</f>
        <v>2.1429718225930063</v>
      </c>
      <c r="F54" s="8">
        <f>' MONTHLY RETURN'!F55-'RAW DATA'!$D54</f>
        <v>6.6841556920674696</v>
      </c>
      <c r="G54" s="8">
        <f>' MONTHLY RETURN'!G55-'RAW DATA'!$D54</f>
        <v>-4.064202408199816</v>
      </c>
      <c r="H54" s="8">
        <f>' MONTHLY RETURN'!H55-'RAW DATA'!$D54</f>
        <v>13.175490137626053</v>
      </c>
      <c r="I54" s="8">
        <f>' MONTHLY RETURN'!I55-'RAW DATA'!$D54</f>
        <v>-3.3736238191583809</v>
      </c>
      <c r="J54" s="8">
        <f>' MONTHLY RETURN'!J55-'RAW DATA'!$D54</f>
        <v>-4.6841575651667391</v>
      </c>
      <c r="K54" s="8">
        <f>' MONTHLY RETURN'!K55-'RAW DATA'!$D54</f>
        <v>5.0380408519118038</v>
      </c>
      <c r="L54" s="8">
        <f>' MONTHLY RETURN'!L55-'RAW DATA'!$D54</f>
        <v>-12.77876758900746</v>
      </c>
      <c r="M54" s="8">
        <f>' MONTHLY RETURN'!M55-'RAW DATA'!D54</f>
        <v>0.49716655171887508</v>
      </c>
    </row>
    <row r="55" spans="1:13" x14ac:dyDescent="0.35">
      <c r="A55" s="1">
        <v>45717</v>
      </c>
      <c r="B55" s="8">
        <f>' MONTHLY RETURN'!B56-'RAW DATA'!D55</f>
        <v>-6.1874404032148194</v>
      </c>
      <c r="C55" s="8">
        <f>' MONTHLY RETURN'!C56-'RAW DATA'!$D55</f>
        <v>-5.2251308900523457</v>
      </c>
      <c r="D55" s="8">
        <f>' MONTHLY RETURN'!D56-'RAW DATA'!$D55</f>
        <v>-9.8095872170439513</v>
      </c>
      <c r="E55" s="8">
        <f>' MONTHLY RETURN'!E56-'RAW DATA'!$D55</f>
        <v>-8.3831775700934514</v>
      </c>
      <c r="F55" s="8">
        <f>' MONTHLY RETURN'!F56-'RAW DATA'!$D55</f>
        <v>-10.040169972033967</v>
      </c>
      <c r="G55" s="8">
        <f>' MONTHLY RETURN'!G56-'RAW DATA'!$D55</f>
        <v>-7.9234612568376637</v>
      </c>
      <c r="H55" s="8">
        <f>' MONTHLY RETURN'!H56-'RAW DATA'!$D55</f>
        <v>-10.466730866737421</v>
      </c>
      <c r="I55" s="8">
        <f>' MONTHLY RETURN'!I56-'RAW DATA'!$D55</f>
        <v>-14.077515888505236</v>
      </c>
      <c r="J55" s="8">
        <f>' MONTHLY RETURN'!J56-'RAW DATA'!$D55</f>
        <v>-5.583536337799436</v>
      </c>
      <c r="K55" s="8">
        <f>' MONTHLY RETURN'!K56-'RAW DATA'!$D55</f>
        <v>-2.3014184397162998</v>
      </c>
      <c r="L55" s="8">
        <f>' MONTHLY RETURN'!L56-'RAW DATA'!$D55</f>
        <v>9.9397822553968744</v>
      </c>
      <c r="M55" s="8">
        <f>' MONTHLY RETURN'!M56-'RAW DATA'!D55</f>
        <v>-6.3870946183422905</v>
      </c>
    </row>
    <row r="56" spans="1:13" x14ac:dyDescent="0.35">
      <c r="A56" s="1">
        <v>45748</v>
      </c>
      <c r="B56" s="8">
        <f>' MONTHLY RETURN'!B57-'RAW DATA'!D56</f>
        <v>-0.90638994393198824</v>
      </c>
      <c r="C56" s="8">
        <f>' MONTHLY RETURN'!C57-'RAW DATA'!$D56</f>
        <v>-0.34767644702156475</v>
      </c>
      <c r="D56" s="8">
        <f>' MONTHLY RETURN'!D57-'RAW DATA'!$D56</f>
        <v>-4.1856492604396536</v>
      </c>
      <c r="E56" s="8">
        <f>' MONTHLY RETURN'!E57-'RAW DATA'!$D56</f>
        <v>-4.6687803225369295</v>
      </c>
      <c r="F56" s="8">
        <f>' MONTHLY RETURN'!F57-'RAW DATA'!$D56</f>
        <v>4.815254406667953</v>
      </c>
      <c r="G56" s="8">
        <f>' MONTHLY RETURN'!G57-'RAW DATA'!$D56</f>
        <v>-1.3518241139511871</v>
      </c>
      <c r="H56" s="8">
        <f>' MONTHLY RETURN'!H57-'RAW DATA'!$D56</f>
        <v>8.5063820054147676</v>
      </c>
      <c r="I56" s="8">
        <f>' MONTHLY RETURN'!I57-'RAW DATA'!$D56</f>
        <v>-4.9994462332840142</v>
      </c>
      <c r="J56" s="8">
        <f>' MONTHLY RETURN'!J57-'RAW DATA'!$D56</f>
        <v>4.9553872180115492</v>
      </c>
      <c r="K56" s="8">
        <f>' MONTHLY RETURN'!K57-'RAW DATA'!$D56</f>
        <v>-4.942683426780019</v>
      </c>
      <c r="L56" s="8">
        <f>' MONTHLY RETURN'!L57-'RAW DATA'!$D56</f>
        <v>-21.443560789837505</v>
      </c>
      <c r="M56" s="8">
        <f>' MONTHLY RETURN'!M57-'RAW DATA'!D56</f>
        <v>-2.3662596963756606</v>
      </c>
    </row>
    <row r="57" spans="1:13" x14ac:dyDescent="0.35">
      <c r="A57" s="1">
        <v>45778</v>
      </c>
      <c r="B57" s="8">
        <f>' MONTHLY RETURN'!B58-'RAW DATA'!D57</f>
        <v>5.9371748522055405</v>
      </c>
      <c r="C57" s="8">
        <f>' MONTHLY RETURN'!C58-'RAW DATA'!$D57</f>
        <v>6.672007808628944</v>
      </c>
      <c r="D57" s="8">
        <f>' MONTHLY RETURN'!D58-'RAW DATA'!$D57</f>
        <v>10.310327638959706</v>
      </c>
      <c r="E57" s="8">
        <f>' MONTHLY RETURN'!E58-'RAW DATA'!$D57</f>
        <v>-5.8296040702615954</v>
      </c>
      <c r="F57" s="8">
        <f>' MONTHLY RETURN'!F58-'RAW DATA'!$D57</f>
        <v>4.2456572774699612</v>
      </c>
      <c r="G57" s="8">
        <f>' MONTHLY RETURN'!G58-'RAW DATA'!$D57</f>
        <v>1.8166474784574123</v>
      </c>
      <c r="H57" s="8">
        <f>' MONTHLY RETURN'!H58-'RAW DATA'!$D57</f>
        <v>-18.288271735117423</v>
      </c>
      <c r="I57" s="8">
        <f>' MONTHLY RETURN'!I58-'RAW DATA'!$D57</f>
        <v>17.592838834526059</v>
      </c>
      <c r="J57" s="8">
        <f>' MONTHLY RETURN'!J58-'RAW DATA'!$D57</f>
        <v>16.124584446140165</v>
      </c>
      <c r="K57" s="8">
        <f>' MONTHLY RETURN'!K58-'RAW DATA'!$D57</f>
        <v>4.8032299500726854</v>
      </c>
      <c r="L57" s="8">
        <f>' MONTHLY RETURN'!L58-'RAW DATA'!$D57</f>
        <v>-26.969862189104067</v>
      </c>
      <c r="M57" s="8">
        <f>' MONTHLY RETURN'!M58-'RAW DATA'!D57</f>
        <v>1.0477555439771857</v>
      </c>
    </row>
    <row r="58" spans="1:13" x14ac:dyDescent="0.35">
      <c r="A58" s="1">
        <v>45809</v>
      </c>
      <c r="B58" s="8">
        <f>' MONTHLY RETURN'!B59-'RAW DATA'!D58</f>
        <v>4.4872107650179691</v>
      </c>
      <c r="C58" s="8">
        <f>' MONTHLY RETURN'!C59-'RAW DATA'!$D58</f>
        <v>-4.382557617120507</v>
      </c>
      <c r="D58" s="8">
        <f>' MONTHLY RETURN'!D59-'RAW DATA'!$D58</f>
        <v>6.8925230414746528</v>
      </c>
      <c r="E58" s="8">
        <f>' MONTHLY RETURN'!E59-'RAW DATA'!$D58</f>
        <v>1.9405593995104342</v>
      </c>
      <c r="F58" s="8">
        <f>' MONTHLY RETURN'!F59-'RAW DATA'!$D58</f>
        <v>-5.0481094189519622</v>
      </c>
      <c r="G58" s="8">
        <f>' MONTHLY RETURN'!G59-'RAW DATA'!$D58</f>
        <v>-0.79049646027487985</v>
      </c>
      <c r="H58" s="8">
        <f>' MONTHLY RETURN'!H59-'RAW DATA'!$D58</f>
        <v>5.548674826509604</v>
      </c>
      <c r="I58" s="8">
        <f>' MONTHLY RETURN'!I59-'RAW DATA'!$D58</f>
        <v>13.649110296735435</v>
      </c>
      <c r="J58" s="8">
        <f>' MONTHLY RETURN'!J59-'RAW DATA'!$D58</f>
        <v>7.9036619095455452</v>
      </c>
      <c r="K58" s="8">
        <f>' MONTHLY RETURN'!K59-'RAW DATA'!$D58</f>
        <v>-6.5631996033177034</v>
      </c>
      <c r="L58" s="8">
        <f>' MONTHLY RETURN'!L59-'RAW DATA'!$D58</f>
        <v>2.9895942178364896</v>
      </c>
      <c r="M58" s="8">
        <f>' MONTHLY RETURN'!M59-'RAW DATA'!D58</f>
        <v>2.2139760591947111</v>
      </c>
    </row>
    <row r="59" spans="1:13" x14ac:dyDescent="0.35">
      <c r="A59" s="1">
        <v>45839</v>
      </c>
      <c r="B59" s="8">
        <f>' MONTHLY RETURN'!B60-'RAW DATA'!D59</f>
        <v>2.2614625372776929</v>
      </c>
      <c r="C59" s="8">
        <f>' MONTHLY RETURN'!C60-'RAW DATA'!$D59</f>
        <v>0.46176614248273445</v>
      </c>
      <c r="D59" s="8">
        <f>' MONTHLY RETURN'!D60-'RAW DATA'!$D59</f>
        <v>0.15003187222461062</v>
      </c>
      <c r="E59" s="8">
        <f>' MONTHLY RETURN'!E60-'RAW DATA'!$D59</f>
        <v>0.82316751326886406</v>
      </c>
      <c r="F59" s="8">
        <f>' MONTHLY RETURN'!F60-'RAW DATA'!$D59</f>
        <v>-5.4251644046133798</v>
      </c>
      <c r="G59" s="8">
        <f>' MONTHLY RETURN'!G60-'RAW DATA'!$D59</f>
        <v>0.51696836486198139</v>
      </c>
      <c r="H59" s="8">
        <f>' MONTHLY RETURN'!H60-'RAW DATA'!$D59</f>
        <v>-5.4054531681859466</v>
      </c>
      <c r="I59" s="8">
        <f>' MONTHLY RETURN'!I60-'RAW DATA'!$D59</f>
        <v>4.5266950698423916</v>
      </c>
      <c r="J59" s="8">
        <f>' MONTHLY RETURN'!J60-'RAW DATA'!$D59</f>
        <v>6.9106601334220876</v>
      </c>
      <c r="K59" s="8">
        <f>' MONTHLY RETURN'!K60-'RAW DATA'!$D59</f>
        <v>-5.9007903928731551</v>
      </c>
      <c r="L59" s="8">
        <f>' MONTHLY RETURN'!L60-'RAW DATA'!$D59</f>
        <v>-19.780344185716924</v>
      </c>
      <c r="M59" s="8">
        <f>' MONTHLY RETURN'!M60-'RAW DATA'!D59</f>
        <v>-2.3122463055286735</v>
      </c>
    </row>
    <row r="60" spans="1:13" x14ac:dyDescent="0.35">
      <c r="A60" s="1">
        <v>45870</v>
      </c>
      <c r="B60" s="8">
        <f>' MONTHLY RETURN'!B61-'RAW DATA'!D60</f>
        <v>1.7293134758995277</v>
      </c>
      <c r="C60" s="8">
        <f>' MONTHLY RETURN'!C61-'RAW DATA'!$D60</f>
        <v>4.9078098538701136</v>
      </c>
      <c r="D60" s="8">
        <f>' MONTHLY RETURN'!D61-'RAW DATA'!$D60</f>
        <v>7.0120942912123212</v>
      </c>
      <c r="E60" s="8">
        <f>' MONTHLY RETURN'!E61-'RAW DATA'!$D60</f>
        <v>11.516309483577155</v>
      </c>
      <c r="F60" s="8">
        <f>' MONTHLY RETURN'!F61-'RAW DATA'!$D60</f>
        <v>6.9467622772709903E-2</v>
      </c>
      <c r="G60" s="8">
        <f>' MONTHLY RETURN'!G61-'RAW DATA'!$D60</f>
        <v>10.361634994078603</v>
      </c>
      <c r="H60" s="8">
        <f>' MONTHLY RETURN'!H61-'RAW DATA'!$D60</f>
        <v>-1.3347265958745269</v>
      </c>
      <c r="I60" s="8">
        <f>' MONTHLY RETURN'!I61-'RAW DATA'!$D60</f>
        <v>-4.8135026350205186</v>
      </c>
      <c r="J60" s="8">
        <f>' MONTHLY RETURN'!J61-'RAW DATA'!$D60</f>
        <v>-5.3477186200929134</v>
      </c>
      <c r="K60" s="8">
        <f>' MONTHLY RETURN'!K61-'RAW DATA'!$D60</f>
        <v>4.7611237785016174</v>
      </c>
      <c r="L60" s="8">
        <f>' MONTHLY RETURN'!L61-'RAW DATA'!$D60</f>
        <v>23.844120456821205</v>
      </c>
      <c r="M60" s="8">
        <f>' MONTHLY RETURN'!M61-'RAW DATA'!D60</f>
        <v>5.0976612629845768</v>
      </c>
    </row>
    <row r="61" spans="1:13" x14ac:dyDescent="0.35">
      <c r="A61" s="1">
        <v>45901</v>
      </c>
      <c r="B61" s="8">
        <f>' MONTHLY RETURN'!B62-'RAW DATA'!D61</f>
        <v>2.9658002401110042</v>
      </c>
      <c r="C61" s="8">
        <f>' MONTHLY RETURN'!C62-'RAW DATA'!$D61</f>
        <v>-4.7573644311921912</v>
      </c>
      <c r="D61" s="8">
        <f>' MONTHLY RETURN'!D62-'RAW DATA'!$D61</f>
        <v>1.3633067729083561</v>
      </c>
      <c r="E61" s="8">
        <f>' MONTHLY RETURN'!E62-'RAW DATA'!$D61</f>
        <v>9.5022167062378635</v>
      </c>
      <c r="F61" s="8">
        <f>' MONTHLY RETURN'!F62-'RAW DATA'!$D61</f>
        <v>-2.0494081328507616</v>
      </c>
      <c r="G61" s="8">
        <f>' MONTHLY RETURN'!G62-'RAW DATA'!$D61</f>
        <v>-0.69817557479844394</v>
      </c>
      <c r="H61" s="8">
        <f>' MONTHLY RETURN'!H62-'RAW DATA'!$D61</f>
        <v>4.0714221126181611</v>
      </c>
      <c r="I61" s="8">
        <f>' MONTHLY RETURN'!I62-'RAW DATA'!$D61</f>
        <v>-0.89432754880695109</v>
      </c>
      <c r="J61" s="8">
        <f>' MONTHLY RETURN'!J62-'RAW DATA'!$D61</f>
        <v>2.0805250440672487</v>
      </c>
      <c r="K61" s="8">
        <f>' MONTHLY RETURN'!K62-'RAW DATA'!$D61</f>
        <v>-2.4669260574749727</v>
      </c>
      <c r="L61" s="8">
        <f>' MONTHLY RETURN'!L62-'RAW DATA'!$D61</f>
        <v>11.12296171576158</v>
      </c>
      <c r="M61" s="8">
        <f>' MONTHLY RETURN'!M62-'RAW DATA'!D61</f>
        <v>1.7274230606469891</v>
      </c>
    </row>
    <row r="62" spans="1:13" x14ac:dyDescent="0.35">
      <c r="A62" s="1">
        <v>45931</v>
      </c>
      <c r="B62" s="8">
        <f>' MONTHLY RETURN'!B63-'RAW DATA'!D62</f>
        <v>2.3593196755135484</v>
      </c>
      <c r="C62" s="8">
        <f>' MONTHLY RETURN'!C63-'RAW DATA'!$D62</f>
        <v>-3.2649102625129993</v>
      </c>
      <c r="D62" s="8">
        <f>' MONTHLY RETURN'!D63-'RAW DATA'!$D62</f>
        <v>3.8648641588296719</v>
      </c>
      <c r="E62" s="8">
        <f>' MONTHLY RETURN'!E63-'RAW DATA'!$D62</f>
        <v>5.8753289042639647</v>
      </c>
      <c r="F62" s="8">
        <f>' MONTHLY RETURN'!F63-'RAW DATA'!$D62</f>
        <v>-1.840194750792657</v>
      </c>
      <c r="G62" s="8">
        <f>' MONTHLY RETURN'!G63-'RAW DATA'!$D62</f>
        <v>-6.0962030375699481</v>
      </c>
      <c r="H62" s="8">
        <f>' MONTHLY RETURN'!H63-'RAW DATA'!$D62</f>
        <v>12.779029505958949</v>
      </c>
      <c r="I62" s="8">
        <f>' MONTHLY RETURN'!I63-'RAW DATA'!$D62</f>
        <v>-11.964022078577365</v>
      </c>
      <c r="J62" s="8">
        <f>' MONTHLY RETURN'!J63-'RAW DATA'!$D62</f>
        <v>-0.33541368460416954</v>
      </c>
      <c r="K62" s="8">
        <f>' MONTHLY RETURN'!K63-'RAW DATA'!$D62</f>
        <v>-2.4468060414053925</v>
      </c>
      <c r="L62" s="8">
        <f>' MONTHLY RETURN'!L63-'RAW DATA'!$D62</f>
        <v>-0.7660260923991753</v>
      </c>
      <c r="M62" s="8">
        <f>' MONTHLY RETURN'!M63-'RAW DATA'!D62</f>
        <v>-0.41943533788091203</v>
      </c>
    </row>
    <row r="63" spans="1:13" x14ac:dyDescent="0.35">
      <c r="A63" s="1">
        <v>45962</v>
      </c>
      <c r="B63" s="8">
        <f>' MONTHLY RETURN'!B64-'RAW DATA'!D63</f>
        <v>-0.10942614513638232</v>
      </c>
      <c r="C63" s="8">
        <f>' MONTHLY RETURN'!C64-'RAW DATA'!$D63</f>
        <v>-0.43943790422207335</v>
      </c>
      <c r="D63" s="8">
        <f>' MONTHLY RETURN'!D64-'RAW DATA'!$D63</f>
        <v>7.1151965394000427E-2</v>
      </c>
      <c r="E63" s="8">
        <f>' MONTHLY RETURN'!E64-'RAW DATA'!$D63</f>
        <v>2.8307595053866925</v>
      </c>
      <c r="F63" s="8">
        <f>' MONTHLY RETURN'!F64-'RAW DATA'!$D63</f>
        <v>7.1270738898920605E-2</v>
      </c>
      <c r="G63" s="8">
        <f>' MONTHLY RETURN'!G64-'RAW DATA'!$D63</f>
        <v>-6.2760990322152992</v>
      </c>
      <c r="H63" s="8">
        <f>' MONTHLY RETURN'!H64-'RAW DATA'!$D63</f>
        <v>24.335490256386461</v>
      </c>
      <c r="I63" s="8">
        <f>' MONTHLY RETURN'!I64-'RAW DATA'!$D63</f>
        <v>-0.36674554660246522</v>
      </c>
      <c r="J63" s="8">
        <f>' MONTHLY RETURN'!J64-'RAW DATA'!$D63</f>
        <v>-5.28719952016099</v>
      </c>
      <c r="K63" s="8">
        <f>' MONTHLY RETURN'!K64-'RAW DATA'!$D63</f>
        <v>-1.0806120590814097</v>
      </c>
      <c r="L63" s="8">
        <f>' MONTHLY RETURN'!L64-'RAW DATA'!$D63</f>
        <v>-3.7564265503418963</v>
      </c>
      <c r="M63" s="8">
        <f>' MONTHLY RETURN'!M64-'RAW DATA'!D63</f>
        <v>1.0102151853441941</v>
      </c>
    </row>
    <row r="64" spans="1:13" x14ac:dyDescent="0.35">
      <c r="A64" s="1">
        <v>45992</v>
      </c>
      <c r="B64" s="8">
        <f>' MONTHLY RETURN'!B65-'RAW DATA'!D64</f>
        <v>-0.50740531470447769</v>
      </c>
      <c r="C64" s="8">
        <f>' MONTHLY RETURN'!C65-'RAW DATA'!$D64</f>
        <v>3.4048950942938485</v>
      </c>
      <c r="D64" s="8">
        <f>' MONTHLY RETURN'!D65-'RAW DATA'!$D64</f>
        <v>2.2378442945474988</v>
      </c>
      <c r="E64" s="8">
        <f>' MONTHLY RETURN'!E65-'RAW DATA'!$D64</f>
        <v>-2.7039001364060442</v>
      </c>
      <c r="F64" s="8">
        <f>' MONTHLY RETURN'!F65-'RAW DATA'!$D64</f>
        <v>-5.9014174174832563</v>
      </c>
      <c r="G64" s="8">
        <f>' MONTHLY RETURN'!G65-'RAW DATA'!$D64</f>
        <v>-3.8841433324873873</v>
      </c>
      <c r="H64" s="8">
        <f>' MONTHLY RETURN'!H65-'RAW DATA'!$D64</f>
        <v>-0.21810233512433602</v>
      </c>
      <c r="I64" s="8">
        <f>' MONTHLY RETURN'!I65-'RAW DATA'!$D64</f>
        <v>1.5819238927846879</v>
      </c>
      <c r="J64" s="8">
        <f>' MONTHLY RETURN'!J65-'RAW DATA'!$D64</f>
        <v>-1.8127727775628311</v>
      </c>
      <c r="K64" s="8">
        <f>' MONTHLY RETURN'!K65-'RAW DATA'!$D64</f>
        <v>-3.5679037520391463</v>
      </c>
      <c r="L64" s="8">
        <f>' MONTHLY RETURN'!L65-'RAW DATA'!$D64</f>
        <v>-0.18787205788075462</v>
      </c>
      <c r="M64" s="8">
        <f>' MONTHLY RETURN'!M65-'RAW DATA'!D64</f>
        <v>-1.1051448527357723</v>
      </c>
    </row>
  </sheetData>
  <sortState xmlns:xlrd2="http://schemas.microsoft.com/office/spreadsheetml/2017/richdata2" ref="A5:B12">
    <sortCondition ref="A4:A12"/>
  </sortState>
  <mergeCells count="2">
    <mergeCell ref="B2:J3"/>
    <mergeCell ref="M2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BE72-995A-4506-AB19-AF6CA5F6DDA6}">
  <dimension ref="A1:J19"/>
  <sheetViews>
    <sheetView tabSelected="1" zoomScale="80" workbookViewId="0">
      <selection activeCell="F20" sqref="F20"/>
    </sheetView>
  </sheetViews>
  <sheetFormatPr defaultRowHeight="14.5" x14ac:dyDescent="0.35"/>
  <cols>
    <col min="2" max="2" width="20.6328125" customWidth="1"/>
    <col min="3" max="3" width="21.08984375" customWidth="1"/>
    <col min="4" max="4" width="19.90625" customWidth="1"/>
    <col min="5" max="5" width="18" customWidth="1"/>
    <col min="6" max="6" width="30.08984375" customWidth="1"/>
    <col min="7" max="7" width="32.453125" customWidth="1"/>
    <col min="8" max="8" width="12.54296875" customWidth="1"/>
    <col min="9" max="9" width="16" customWidth="1"/>
    <col min="10" max="10" width="11.1796875" customWidth="1"/>
  </cols>
  <sheetData>
    <row r="1" spans="1:10" x14ac:dyDescent="0.35">
      <c r="A1" t="s">
        <v>67</v>
      </c>
    </row>
    <row r="2" spans="1:10" x14ac:dyDescent="0.35">
      <c r="A2" t="s">
        <v>39</v>
      </c>
      <c r="B2" t="s">
        <v>44</v>
      </c>
      <c r="C2" t="s">
        <v>45</v>
      </c>
      <c r="D2" t="s">
        <v>46</v>
      </c>
      <c r="E2" t="s">
        <v>47</v>
      </c>
      <c r="F2" s="7" t="s">
        <v>48</v>
      </c>
      <c r="G2" s="7" t="s">
        <v>49</v>
      </c>
      <c r="H2" t="s">
        <v>40</v>
      </c>
      <c r="I2" t="s">
        <v>41</v>
      </c>
      <c r="J2" t="s">
        <v>42</v>
      </c>
    </row>
    <row r="3" spans="1:10" x14ac:dyDescent="0.35">
      <c r="A3" t="s">
        <v>7</v>
      </c>
      <c r="B3" s="8">
        <f>AVERAGE(' MONTHLY RETURN'!C6:C65)</f>
        <v>1.0287814591994839</v>
      </c>
      <c r="C3" s="8">
        <f>_xlfn.STDEV.S(' MONTHLY RETURN'!C6:C65)</f>
        <v>6.3224251838815864</v>
      </c>
      <c r="D3" s="8">
        <f>B3*12</f>
        <v>12.345377510393806</v>
      </c>
      <c r="E3" s="8">
        <f>C3*(SQRT(12))</f>
        <v>21.901523291071818</v>
      </c>
      <c r="F3" s="8">
        <f>AVERAGE('EXCESS RETURN'!C5:C64)</f>
        <v>0.77360090364392797</v>
      </c>
      <c r="G3" s="8">
        <f>_xlfn.STDEV.S('EXCESS RETURN'!C5:C64)</f>
        <v>6.3027600657809844</v>
      </c>
      <c r="H3" s="8">
        <f>(F3*12)/(G3*(SQRT(12)))</f>
        <v>0.42518390543443541</v>
      </c>
      <c r="I3" s="8">
        <f>CORREL('EXCESS RETURN'!C5:C64,'EXCESS RETURN'!B5:B64)</f>
        <v>0.59495508872777159</v>
      </c>
      <c r="J3" s="8">
        <f>SLOPE('EXCESS RETURN'!C5:C64,'EXCESS RETURN'!B5:B64)</f>
        <v>0.85116676896040422</v>
      </c>
    </row>
    <row r="4" spans="1:10" x14ac:dyDescent="0.35">
      <c r="A4" t="s">
        <v>3</v>
      </c>
      <c r="B4" s="8">
        <f>AVERAGE(' MONTHLY RETURN'!D6:D65)</f>
        <v>1.5282986876027425</v>
      </c>
      <c r="C4" s="8">
        <f>_xlfn.STDEV.S(' MONTHLY RETURN'!D6:D65)</f>
        <v>8.1474951482847562</v>
      </c>
      <c r="D4" s="8">
        <f t="shared" ref="D4:D14" si="0">B4*12</f>
        <v>18.33958425123291</v>
      </c>
      <c r="E4" s="8">
        <f t="shared" ref="E4:E14" si="1">C4*(SQRT(12))</f>
        <v>28.223751102500241</v>
      </c>
      <c r="F4" s="8">
        <f>AVERAGE('EXCESS RETURN'!D5:D64)</f>
        <v>1.2731181320471869</v>
      </c>
      <c r="G4" s="8">
        <f>_xlfn.STDEV.S('EXCESS RETURN'!D5:D64)</f>
        <v>8.1409440945473186</v>
      </c>
      <c r="H4" s="8">
        <f t="shared" ref="H4:H14" si="2">(F4*12)/(G4*(SQRT(12)))</f>
        <v>0.54173207999791007</v>
      </c>
      <c r="I4" s="8">
        <f>CORREL('EXCESS RETURN'!D5:D64,'EXCESS RETURN'!B5:B64)</f>
        <v>0.70918759711984336</v>
      </c>
      <c r="J4" s="8">
        <f>SLOPE('EXCESS RETURN'!D5:D64,'EXCESS RETURN'!B5:B64)</f>
        <v>1.3104957160475068</v>
      </c>
    </row>
    <row r="5" spans="1:10" x14ac:dyDescent="0.35">
      <c r="A5" t="s">
        <v>2</v>
      </c>
      <c r="B5" s="8">
        <f>AVERAGE(' MONTHLY RETURN'!E6:E65)</f>
        <v>1.4902478636469967</v>
      </c>
      <c r="C5" s="8">
        <f>_xlfn.STDEV.S(' MONTHLY RETURN'!E6:E65)</f>
        <v>7.0734174355461574</v>
      </c>
      <c r="D5" s="8">
        <f t="shared" si="0"/>
        <v>17.88297436376396</v>
      </c>
      <c r="E5" s="8">
        <f t="shared" si="1"/>
        <v>24.503036763018997</v>
      </c>
      <c r="F5" s="8">
        <f>AVERAGE(' MONTHLY RETURN'!E6:E65)</f>
        <v>1.4902478636469967</v>
      </c>
      <c r="G5" s="8">
        <f>_xlfn.STDEV.S('EXCESS RETURN'!E5:E64)</f>
        <v>7.0678897526641746</v>
      </c>
      <c r="H5" s="8">
        <f t="shared" si="2"/>
        <v>0.73039764513435468</v>
      </c>
      <c r="I5" s="8">
        <f>CORREL('EXCESS RETURN'!E5:E64,'EXCESS RETURN'!B5:B64)</f>
        <v>0.67152415979281233</v>
      </c>
      <c r="J5" s="8">
        <f>SLOPE('EXCESS RETURN'!E5:E64,'EXCESS RETURN'!B5:B64)</f>
        <v>1.0773358460256033</v>
      </c>
    </row>
    <row r="6" spans="1:10" x14ac:dyDescent="0.35">
      <c r="A6" t="s">
        <v>4</v>
      </c>
      <c r="B6" s="8">
        <f>AVERAGE(' MONTHLY RETURN'!F6:F65)</f>
        <v>1.7493968130104358</v>
      </c>
      <c r="C6" s="8">
        <f>_xlfn.STDEV.S(' MONTHLY RETURN'!F6:F65)</f>
        <v>6.7135577512809057</v>
      </c>
      <c r="D6" s="8">
        <f t="shared" si="0"/>
        <v>20.99276175612523</v>
      </c>
      <c r="E6" s="8">
        <f t="shared" si="1"/>
        <v>23.256446249532775</v>
      </c>
      <c r="F6" s="8">
        <f>AVERAGE('EXCESS RETURN'!F5:F64)</f>
        <v>1.4942162574548796</v>
      </c>
      <c r="G6" s="8">
        <f>_xlfn.STDEV.S('EXCESS RETURN'!F5:F64)</f>
        <v>6.7095238182908883</v>
      </c>
      <c r="H6" s="8">
        <f t="shared" si="2"/>
        <v>0.77145816767262754</v>
      </c>
      <c r="I6" s="8">
        <f>CORREL('EXCESS RETURN'!F5:F64,'EXCESS RETURN'!B5:B64)</f>
        <v>0.65227999799083225</v>
      </c>
      <c r="J6" s="8">
        <f>SLOPE('EXCESS RETURN'!F5:F64,'EXCESS RETURN'!B5:B64)</f>
        <v>0.99340298738076649</v>
      </c>
    </row>
    <row r="7" spans="1:10" x14ac:dyDescent="0.35">
      <c r="A7" t="s">
        <v>5</v>
      </c>
      <c r="B7" s="8">
        <f>AVERAGE(' MONTHLY RETURN'!G6:G65)</f>
        <v>0.86892002262790224</v>
      </c>
      <c r="C7" s="8">
        <f>_xlfn.STDEV.S(' MONTHLY RETURN'!G6:G65)</f>
        <v>6.9337122843094647</v>
      </c>
      <c r="D7" s="8">
        <f t="shared" si="0"/>
        <v>10.427040271534826</v>
      </c>
      <c r="E7" s="8">
        <f t="shared" si="1"/>
        <v>24.019083922976904</v>
      </c>
      <c r="F7" s="8">
        <f>AVERAGE('EXCESS RETURN'!G5:G64)</f>
        <v>0.61373946707234628</v>
      </c>
      <c r="G7" s="8">
        <f>_xlfn.STDEV.S('EXCESS RETURN'!G5:G64)</f>
        <v>6.9342908606791775</v>
      </c>
      <c r="H7" s="8">
        <f>(F7*12)/(G7*(SQRT(12)))</f>
        <v>0.30660033186881108</v>
      </c>
      <c r="I7" s="8">
        <f>CORREL('EXCESS RETURN'!G5:G64,'EXCESS RETURN'!B5:B64)</f>
        <v>0.66632350637365212</v>
      </c>
      <c r="J7" s="8">
        <f>SLOPE('EXCESS RETURN'!G5:G64,'EXCESS RETURN'!B5:B64)</f>
        <v>1.0487860214416571</v>
      </c>
    </row>
    <row r="8" spans="1:10" x14ac:dyDescent="0.35">
      <c r="A8" t="s">
        <v>6</v>
      </c>
      <c r="B8" s="8">
        <f>AVERAGE(' MONTHLY RETURN'!H6:H65)</f>
        <v>3.6429600112002971</v>
      </c>
      <c r="C8" s="8">
        <f>_xlfn.STDEV.S(' MONTHLY RETURN'!H6:H65)</f>
        <v>9.3995187116876959</v>
      </c>
      <c r="D8" s="8">
        <f t="shared" si="0"/>
        <v>43.715520134403562</v>
      </c>
      <c r="E8" s="8">
        <f t="shared" si="1"/>
        <v>32.560887950674889</v>
      </c>
      <c r="F8" s="8">
        <f>AVERAGE('EXCESS RETURN'!H5:H64)</f>
        <v>3.3877794556447389</v>
      </c>
      <c r="G8" s="8">
        <f>_xlfn.STDEV.S('EXCESS RETURN'!H5:H64)</f>
        <v>9.4036789685177524</v>
      </c>
      <c r="H8" s="8">
        <f>(F8*12)/(G8*(SQRT(12)))</f>
        <v>1.24798095759316</v>
      </c>
      <c r="I8" s="8">
        <f>CORREL('EXCESS RETURN'!H5:H64,'EXCESS RETURN'!B5:B64)</f>
        <v>0.15642840060864788</v>
      </c>
      <c r="J8" s="8">
        <f>SLOPE('EXCESS RETURN'!H5:H64,'EXCESS RETURN'!B5:B64)</f>
        <v>0.33389744883962541</v>
      </c>
    </row>
    <row r="9" spans="1:10" x14ac:dyDescent="0.35">
      <c r="A9" t="s">
        <v>8</v>
      </c>
      <c r="B9" s="8">
        <f>AVERAGE(' MONTHLY RETURN'!I6:I65)</f>
        <v>2.2097671887983106</v>
      </c>
      <c r="C9" s="8">
        <f>_xlfn.STDEV.S(' MONTHLY RETURN'!I6:I65)</f>
        <v>11.847212544052109</v>
      </c>
      <c r="D9" s="8">
        <f t="shared" si="0"/>
        <v>26.517206265579727</v>
      </c>
      <c r="E9" s="8">
        <f t="shared" si="1"/>
        <v>41.039948108731174</v>
      </c>
      <c r="F9" s="8">
        <f>AVERAGE('EXCESS RETURN'!I5:I64)</f>
        <v>1.9545866332427546</v>
      </c>
      <c r="G9" s="8">
        <f>_xlfn.STDEV.S('EXCESS RETURN'!I5:I64)</f>
        <v>11.793881974764085</v>
      </c>
      <c r="H9" s="8">
        <f>(F9*12)/(G9*(SQRT(12)))</f>
        <v>0.57410161706136043</v>
      </c>
      <c r="I9" s="8">
        <f>CORREL('EXCESS RETURN'!I5:I64,'EXCESS RETURN'!B5:B64)</f>
        <v>0.45192732163260207</v>
      </c>
      <c r="J9" s="8">
        <f>SLOPE('EXCESS RETURN'!I5:I64,'EXCESS RETURN'!B5:B64)</f>
        <v>1.2098320257417241</v>
      </c>
    </row>
    <row r="10" spans="1:10" x14ac:dyDescent="0.35">
      <c r="A10" t="s">
        <v>9</v>
      </c>
      <c r="B10" s="8">
        <f>AVERAGE(' MONTHLY RETURN'!J6:J65)</f>
        <v>1.570875090203105</v>
      </c>
      <c r="C10" s="8">
        <f>_xlfn.STDEV.S(' MONTHLY RETURN'!J6:J65)</f>
        <v>6.4318421416571994</v>
      </c>
      <c r="D10" s="8">
        <f t="shared" si="0"/>
        <v>18.850501082437262</v>
      </c>
      <c r="E10" s="8">
        <f t="shared" si="1"/>
        <v>22.280554751225779</v>
      </c>
      <c r="F10" s="8">
        <f>AVERAGE('EXCESS RETURN'!J5:J64)</f>
        <v>1.3156945346475495</v>
      </c>
      <c r="G10" s="8">
        <f>_xlfn.STDEV.S('EXCESS RETURN'!J5:J64)</f>
        <v>6.4228737505545901</v>
      </c>
      <c r="H10" s="8">
        <f t="shared" si="2"/>
        <v>0.70960441377303318</v>
      </c>
      <c r="I10" s="8">
        <f>CORREL('EXCESS RETURN'!J5:J64,'EXCESS RETURN'!B5:B64)</f>
        <v>0.71944491466087435</v>
      </c>
      <c r="J10" s="8">
        <f>SLOPE('EXCESS RETURN'!J5:J64,'EXCESS RETURN'!B5:B64)</f>
        <v>1.0488820041641809</v>
      </c>
    </row>
    <row r="11" spans="1:10" x14ac:dyDescent="0.35">
      <c r="A11" t="s">
        <v>10</v>
      </c>
      <c r="B11" s="8">
        <f>AVERAGE(' MONTHLY RETURN'!K6:K65)</f>
        <v>0.38398565702246584</v>
      </c>
      <c r="C11" s="8">
        <f>_xlfn.STDEV.S(' MONTHLY RETURN'!K6:K65)</f>
        <v>5.095477838869189</v>
      </c>
      <c r="D11" s="8">
        <f t="shared" si="0"/>
        <v>4.6078278842695903</v>
      </c>
      <c r="E11" s="8">
        <f t="shared" si="1"/>
        <v>17.651253011525391</v>
      </c>
      <c r="F11" s="8">
        <f>AVERAGE('EXCESS RETURN'!K5:K64)</f>
        <v>0.12880510146691052</v>
      </c>
      <c r="G11" s="8">
        <f>_xlfn.STDEV.S('EXCESS RETURN'!K5:K64)</f>
        <v>5.0905993883643053</v>
      </c>
      <c r="H11" s="8">
        <f t="shared" si="2"/>
        <v>8.7650574321244457E-2</v>
      </c>
      <c r="I11" s="8">
        <f>CORREL('EXCESS RETURN'!K5:K64,'EXCESS RETURN'!B5:B64)</f>
        <v>0.33224694943760047</v>
      </c>
      <c r="J11" s="8">
        <f>SLOPE('EXCESS RETURN'!K5:K64,'EXCESS RETURN'!B5:B64)</f>
        <v>0.38391017677552886</v>
      </c>
    </row>
    <row r="12" spans="1:10" x14ac:dyDescent="0.35">
      <c r="A12" t="s">
        <v>11</v>
      </c>
      <c r="B12" s="8">
        <f>AVERAGE(' MONTHLY RETURN'!L6:L65)</f>
        <v>0.41990574780562201</v>
      </c>
      <c r="C12" s="8">
        <f>_xlfn.STDEV.S(' MONTHLY RETURN'!L6:L65)</f>
        <v>8.7465820343083589</v>
      </c>
      <c r="D12" s="8">
        <f t="shared" si="0"/>
        <v>5.0388689736674639</v>
      </c>
      <c r="E12" s="8">
        <f t="shared" si="1"/>
        <v>30.299048951982453</v>
      </c>
      <c r="F12" s="8">
        <f>AVERAGE('EXCESS RETURN'!L5:L64)</f>
        <v>0.16472519225006696</v>
      </c>
      <c r="G12" s="8">
        <f>_xlfn.STDEV.S('EXCESS RETURN'!L5:L64)</f>
        <v>8.7725175800051236</v>
      </c>
      <c r="H12" s="8">
        <f t="shared" si="2"/>
        <v>6.5046869307841371E-2</v>
      </c>
      <c r="I12" s="8">
        <f>CORREL('EXCESS RETURN'!L5:L64,'EXCESS RETURN'!B5:B64)</f>
        <v>0.21874729476231991</v>
      </c>
      <c r="J12" s="8">
        <f>SLOPE('EXCESS RETURN'!L5:L64,'EXCESS RETURN'!B5:B64)</f>
        <v>0.43557870519594283</v>
      </c>
    </row>
    <row r="13" spans="1:10" x14ac:dyDescent="0.35">
      <c r="A13" t="s">
        <v>12</v>
      </c>
      <c r="B13" s="8">
        <f>AVERAGE(' MONTHLY RETURN'!B6:B65)</f>
        <v>1.2214156488653889</v>
      </c>
      <c r="C13" s="8">
        <f>_xlfn.STDEV.S(' MONTHLY RETURN'!B6:B65)</f>
        <v>4.4244273371991794</v>
      </c>
      <c r="D13" s="8">
        <f t="shared" si="0"/>
        <v>14.656987786384667</v>
      </c>
      <c r="E13" s="8">
        <f t="shared" si="1"/>
        <v>15.326665884851311</v>
      </c>
      <c r="F13" s="8">
        <f>AVERAGE('EXCESS RETURN'!B5:B64)</f>
        <v>0.96623509330983326</v>
      </c>
      <c r="G13" s="8">
        <f>_xlfn.STDEV.S('EXCESS RETURN'!B5:B64)</f>
        <v>4.4055516626272579</v>
      </c>
      <c r="H13" s="8">
        <f t="shared" si="2"/>
        <v>0.75975423821072663</v>
      </c>
      <c r="I13" s="8">
        <f>CORREL('EXCESS RETURN'!B5:B64,'EXCESS RETURN'!B5:B64)</f>
        <v>1.0000000000000002</v>
      </c>
      <c r="J13" s="8">
        <f>SLOPE('EXCESS RETURN'!B5:B64,'EXCESS RETURN'!B5:B64)</f>
        <v>1</v>
      </c>
    </row>
    <row r="14" spans="1:10" x14ac:dyDescent="0.35">
      <c r="A14" t="s">
        <v>43</v>
      </c>
      <c r="B14" s="8">
        <f>AVERAGE(' MONTHLY RETURN'!M6:M65)</f>
        <v>1.4893138541117361</v>
      </c>
      <c r="C14" s="8">
        <f>_xlfn.STDEV.S(' MONTHLY RETURN'!M6:M65)</f>
        <v>4.3071165201767165</v>
      </c>
      <c r="D14" s="8">
        <f t="shared" si="0"/>
        <v>17.871766249340833</v>
      </c>
      <c r="E14" s="8">
        <f t="shared" si="1"/>
        <v>14.920289294130669</v>
      </c>
      <c r="F14" s="8">
        <f>AVERAGE('EXCESS RETURN'!M5:M64)</f>
        <v>1.2341332985561801</v>
      </c>
      <c r="G14" s="8">
        <f>_xlfn.STDEV.S('EXCESS RETURN'!M5:M64)</f>
        <v>4.2911545570788903</v>
      </c>
      <c r="H14" s="8">
        <f t="shared" si="2"/>
        <v>0.99627340287038568</v>
      </c>
      <c r="I14" s="8">
        <f>CORREL('EXCESS RETURN'!M5:M64,'EXCESS RETURN'!B5:B64)</f>
        <v>0.89250404695344399</v>
      </c>
      <c r="J14" s="8">
        <f>SLOPE('EXCESS RETURN'!M5:M64,'EXCESS RETURN'!B5:B64)</f>
        <v>0.86932877005729425</v>
      </c>
    </row>
    <row r="15" spans="1:10" x14ac:dyDescent="0.35">
      <c r="B15" s="8"/>
      <c r="H15" s="7"/>
    </row>
    <row r="19" spans="6:7" x14ac:dyDescent="0.35">
      <c r="F19" s="7"/>
      <c r="G1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42AB-7C4E-4050-9A41-39ED6A181FB8}">
  <dimension ref="A1:C28"/>
  <sheetViews>
    <sheetView zoomScale="82" workbookViewId="0">
      <selection activeCell="V8" sqref="V8"/>
    </sheetView>
  </sheetViews>
  <sheetFormatPr defaultRowHeight="14.5" x14ac:dyDescent="0.35"/>
  <cols>
    <col min="2" max="2" width="18.81640625" customWidth="1"/>
  </cols>
  <sheetData>
    <row r="1" spans="1:3" x14ac:dyDescent="0.35">
      <c r="A1" t="s">
        <v>67</v>
      </c>
    </row>
    <row r="2" spans="1:3" x14ac:dyDescent="0.35">
      <c r="A2" t="s">
        <v>39</v>
      </c>
      <c r="B2" t="str">
        <f>STATISTIC!E2</f>
        <v>Annual Stdev (Vol) %</v>
      </c>
      <c r="C2" t="str">
        <f>STATISTIC!D2</f>
        <v>Annual Mean Return %</v>
      </c>
    </row>
    <row r="3" spans="1:3" x14ac:dyDescent="0.35">
      <c r="A3" t="s">
        <v>7</v>
      </c>
      <c r="B3" s="8">
        <f>STATISTIC!E3</f>
        <v>21.901523291071818</v>
      </c>
      <c r="C3" s="8">
        <f>STATISTIC!D3</f>
        <v>12.345377510393806</v>
      </c>
    </row>
    <row r="4" spans="1:3" x14ac:dyDescent="0.35">
      <c r="A4" t="s">
        <v>3</v>
      </c>
      <c r="B4" s="8">
        <f>STATISTIC!E4</f>
        <v>28.223751102500241</v>
      </c>
      <c r="C4" s="8">
        <f>STATISTIC!D4</f>
        <v>18.33958425123291</v>
      </c>
    </row>
    <row r="5" spans="1:3" x14ac:dyDescent="0.35">
      <c r="A5" t="s">
        <v>2</v>
      </c>
      <c r="B5" s="8">
        <f>STATISTIC!E5</f>
        <v>24.503036763018997</v>
      </c>
      <c r="C5" s="8">
        <f>STATISTIC!D5</f>
        <v>17.88297436376396</v>
      </c>
    </row>
    <row r="6" spans="1:3" x14ac:dyDescent="0.35">
      <c r="A6" t="s">
        <v>4</v>
      </c>
      <c r="B6" s="8">
        <f>STATISTIC!E6</f>
        <v>23.256446249532775</v>
      </c>
      <c r="C6" s="8">
        <f>STATISTIC!D6</f>
        <v>20.99276175612523</v>
      </c>
    </row>
    <row r="7" spans="1:3" x14ac:dyDescent="0.35">
      <c r="A7" t="s">
        <v>5</v>
      </c>
      <c r="B7" s="8">
        <f>STATISTIC!E7</f>
        <v>24.019083922976904</v>
      </c>
      <c r="C7" s="8">
        <f>STATISTIC!D7</f>
        <v>10.427040271534826</v>
      </c>
    </row>
    <row r="8" spans="1:3" x14ac:dyDescent="0.35">
      <c r="A8" t="s">
        <v>6</v>
      </c>
      <c r="B8" s="8">
        <f>STATISTIC!E8</f>
        <v>32.560887950674889</v>
      </c>
      <c r="C8" s="8">
        <f>STATISTIC!D8</f>
        <v>43.715520134403562</v>
      </c>
    </row>
    <row r="9" spans="1:3" x14ac:dyDescent="0.35">
      <c r="A9" t="s">
        <v>8</v>
      </c>
      <c r="B9" s="8">
        <f>STATISTIC!E9</f>
        <v>41.039948108731174</v>
      </c>
      <c r="C9" s="8">
        <f>STATISTIC!D9</f>
        <v>26.517206265579727</v>
      </c>
    </row>
    <row r="10" spans="1:3" x14ac:dyDescent="0.35">
      <c r="A10" t="s">
        <v>9</v>
      </c>
      <c r="B10" s="8">
        <f>STATISTIC!E10</f>
        <v>22.280554751225779</v>
      </c>
      <c r="C10" s="8">
        <f>STATISTIC!D10</f>
        <v>18.850501082437262</v>
      </c>
    </row>
    <row r="11" spans="1:3" x14ac:dyDescent="0.35">
      <c r="A11" t="s">
        <v>10</v>
      </c>
      <c r="B11" s="8">
        <f>STATISTIC!E11</f>
        <v>17.651253011525391</v>
      </c>
      <c r="C11" s="8">
        <f>STATISTIC!D11</f>
        <v>4.6078278842695903</v>
      </c>
    </row>
    <row r="12" spans="1:3" x14ac:dyDescent="0.35">
      <c r="A12" t="s">
        <v>11</v>
      </c>
      <c r="B12" s="8">
        <f>STATISTIC!E12</f>
        <v>30.299048951982453</v>
      </c>
      <c r="C12" s="8">
        <f>STATISTIC!D12</f>
        <v>5.0388689736674639</v>
      </c>
    </row>
    <row r="13" spans="1:3" x14ac:dyDescent="0.35">
      <c r="A13" t="s">
        <v>12</v>
      </c>
      <c r="B13" s="8">
        <f>STATISTIC!E13</f>
        <v>15.326665884851311</v>
      </c>
      <c r="C13" s="8">
        <f>STATISTIC!D13</f>
        <v>14.656987786384667</v>
      </c>
    </row>
    <row r="14" spans="1:3" x14ac:dyDescent="0.35">
      <c r="A14" t="s">
        <v>43</v>
      </c>
      <c r="B14" s="8">
        <f>STATISTIC!E14</f>
        <v>14.920289294130669</v>
      </c>
      <c r="C14" s="8">
        <f>STATISTIC!D14</f>
        <v>17.871766249340833</v>
      </c>
    </row>
    <row r="16" spans="1:3" x14ac:dyDescent="0.35">
      <c r="A16" t="str">
        <f>STATISTIC!A2</f>
        <v>Asset</v>
      </c>
      <c r="B16" s="8" t="str">
        <f>STATISTIC!I2</f>
        <v>Correlation to SPY</v>
      </c>
      <c r="C16" t="str">
        <f>STATISTIC!J2</f>
        <v>Beta to SPY</v>
      </c>
    </row>
    <row r="17" spans="1:3" x14ac:dyDescent="0.35">
      <c r="A17" t="str">
        <f>STATISTIC!A3</f>
        <v>MA</v>
      </c>
      <c r="B17" s="8">
        <f>STATISTIC!I3</f>
        <v>0.59495508872777159</v>
      </c>
      <c r="C17">
        <f>STATISTIC!J3</f>
        <v>0.85116676896040422</v>
      </c>
    </row>
    <row r="18" spans="1:3" x14ac:dyDescent="0.35">
      <c r="A18" t="str">
        <f>STATISTIC!A4</f>
        <v>BAC</v>
      </c>
      <c r="B18" s="8">
        <f>STATISTIC!I4</f>
        <v>0.70918759711984336</v>
      </c>
      <c r="C18">
        <f>STATISTIC!J4</f>
        <v>1.3104957160475068</v>
      </c>
    </row>
    <row r="19" spans="1:3" x14ac:dyDescent="0.35">
      <c r="A19" t="str">
        <f>STATISTIC!A5</f>
        <v>AAPL</v>
      </c>
      <c r="B19" s="8">
        <f>STATISTIC!I5</f>
        <v>0.67152415979281233</v>
      </c>
      <c r="C19">
        <f>STATISTIC!J5</f>
        <v>1.0773358460256033</v>
      </c>
    </row>
    <row r="20" spans="1:3" x14ac:dyDescent="0.35">
      <c r="A20" t="str">
        <f>STATISTIC!A6</f>
        <v>COST</v>
      </c>
      <c r="B20" s="8">
        <f>STATISTIC!I6</f>
        <v>0.65227999799083225</v>
      </c>
      <c r="C20">
        <f>STATISTIC!J6</f>
        <v>0.99340298738076649</v>
      </c>
    </row>
    <row r="21" spans="1:3" x14ac:dyDescent="0.35">
      <c r="A21" t="str">
        <f>STATISTIC!A7</f>
        <v>HD</v>
      </c>
      <c r="B21" s="8">
        <f>STATISTIC!I7</f>
        <v>0.66632350637365212</v>
      </c>
      <c r="C21">
        <f>STATISTIC!J7</f>
        <v>1.0487860214416571</v>
      </c>
    </row>
    <row r="22" spans="1:3" x14ac:dyDescent="0.35">
      <c r="A22" t="str">
        <f>STATISTIC!A8</f>
        <v>LLY</v>
      </c>
      <c r="B22" s="8">
        <f>STATISTIC!I8</f>
        <v>0.15642840060864788</v>
      </c>
      <c r="C22">
        <f>STATISTIC!J8</f>
        <v>0.33389744883962541</v>
      </c>
    </row>
    <row r="23" spans="1:3" x14ac:dyDescent="0.35">
      <c r="A23" t="str">
        <f>STATISTIC!A9</f>
        <v>META</v>
      </c>
      <c r="B23" s="8">
        <f>STATISTIC!I9</f>
        <v>0.45192732163260207</v>
      </c>
      <c r="C23">
        <f>STATISTIC!J9</f>
        <v>1.2098320257417241</v>
      </c>
    </row>
    <row r="24" spans="1:3" x14ac:dyDescent="0.35">
      <c r="A24" t="str">
        <f>STATISTIC!A10</f>
        <v>MSFT</v>
      </c>
      <c r="B24" s="8">
        <f>STATISTIC!I10</f>
        <v>0.71944491466087435</v>
      </c>
      <c r="C24">
        <f>STATISTIC!J10</f>
        <v>1.0488820041641809</v>
      </c>
    </row>
    <row r="25" spans="1:3" x14ac:dyDescent="0.35">
      <c r="A25" t="str">
        <f>STATISTIC!A11</f>
        <v>PG</v>
      </c>
      <c r="B25" s="8">
        <f>STATISTIC!I11</f>
        <v>0.33224694943760047</v>
      </c>
      <c r="C25">
        <f>STATISTIC!J11</f>
        <v>0.38391017677552886</v>
      </c>
    </row>
    <row r="26" spans="1:3" x14ac:dyDescent="0.35">
      <c r="A26" t="str">
        <f>STATISTIC!A12</f>
        <v>UNH</v>
      </c>
      <c r="B26" s="8">
        <f>STATISTIC!I12</f>
        <v>0.21874729476231991</v>
      </c>
      <c r="C26">
        <f>STATISTIC!J12</f>
        <v>0.43557870519594283</v>
      </c>
    </row>
    <row r="27" spans="1:3" x14ac:dyDescent="0.35">
      <c r="A27" t="str">
        <f>STATISTIC!A13</f>
        <v>SPY</v>
      </c>
      <c r="B27" s="8">
        <f>STATISTIC!I13</f>
        <v>1.0000000000000002</v>
      </c>
      <c r="C27">
        <f>STATISTIC!J13</f>
        <v>1</v>
      </c>
    </row>
    <row r="28" spans="1:3" x14ac:dyDescent="0.35">
      <c r="A28" t="str">
        <f>STATISTIC!A14</f>
        <v>PORTFOLIO</v>
      </c>
      <c r="B28" s="8">
        <f>STATISTIC!I14</f>
        <v>0.89250404695344399</v>
      </c>
      <c r="C28">
        <f>STATISTIC!J14</f>
        <v>0.86932877005729425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AE84-AE9D-4299-AD8A-F11CC3953AE8}">
  <dimension ref="A1:M13"/>
  <sheetViews>
    <sheetView topLeftCell="A2" workbookViewId="0">
      <selection activeCell="I12" sqref="I12"/>
    </sheetView>
  </sheetViews>
  <sheetFormatPr defaultRowHeight="14.5" x14ac:dyDescent="0.35"/>
  <cols>
    <col min="1" max="1" width="20.54296875" customWidth="1"/>
    <col min="3" max="3" width="8.6328125" customWidth="1"/>
    <col min="6" max="7" width="14.6328125" customWidth="1"/>
  </cols>
  <sheetData>
    <row r="1" spans="1:13" x14ac:dyDescent="0.35">
      <c r="A1" t="s">
        <v>67</v>
      </c>
    </row>
    <row r="2" spans="1:13" ht="18.5" x14ac:dyDescent="0.45">
      <c r="A2" s="9" t="s">
        <v>50</v>
      </c>
      <c r="C2" t="s">
        <v>54</v>
      </c>
      <c r="D2" s="9" t="s">
        <v>52</v>
      </c>
      <c r="G2" t="s">
        <v>54</v>
      </c>
      <c r="H2" s="9" t="s">
        <v>53</v>
      </c>
      <c r="I2" s="9"/>
      <c r="J2" t="s">
        <v>54</v>
      </c>
      <c r="K2" s="9" t="s">
        <v>51</v>
      </c>
      <c r="M2" s="9" t="s">
        <v>54</v>
      </c>
    </row>
    <row r="3" spans="1:13" x14ac:dyDescent="0.35">
      <c r="A3" t="s">
        <v>55</v>
      </c>
      <c r="C3" s="8">
        <f>STATISTIC!J6</f>
        <v>0.99340298738076649</v>
      </c>
      <c r="D3" t="s">
        <v>57</v>
      </c>
      <c r="G3" s="8">
        <f>STATISTIC!J8</f>
        <v>0.33389744883962541</v>
      </c>
      <c r="H3" t="s">
        <v>58</v>
      </c>
      <c r="J3" s="8">
        <f>STATISTIC!J4</f>
        <v>1.3104957160475068</v>
      </c>
      <c r="K3" t="s">
        <v>2</v>
      </c>
      <c r="M3" s="8">
        <f>STATISTIC!J5</f>
        <v>1.0773358460256033</v>
      </c>
    </row>
    <row r="4" spans="1:13" x14ac:dyDescent="0.35">
      <c r="A4" t="s">
        <v>56</v>
      </c>
      <c r="C4" s="8">
        <f>STATISTIC!J7</f>
        <v>1.0487860214416571</v>
      </c>
      <c r="K4" t="s">
        <v>9</v>
      </c>
      <c r="M4" s="8">
        <f>STATISTIC!J10</f>
        <v>1.0488820041641809</v>
      </c>
    </row>
    <row r="5" spans="1:13" x14ac:dyDescent="0.35">
      <c r="A5" t="s">
        <v>59</v>
      </c>
      <c r="C5" s="8">
        <f>AVERAGE(C3:C4)</f>
        <v>1.0210945044112119</v>
      </c>
      <c r="D5" t="s">
        <v>59</v>
      </c>
      <c r="G5" s="8">
        <f>G3</f>
        <v>0.33389744883962541</v>
      </c>
      <c r="H5" t="s">
        <v>59</v>
      </c>
      <c r="J5" s="8">
        <f>J3</f>
        <v>1.3104957160475068</v>
      </c>
      <c r="K5" t="s">
        <v>8</v>
      </c>
      <c r="M5" s="8">
        <f>STATISTIC!J9</f>
        <v>1.2098320257417241</v>
      </c>
    </row>
    <row r="6" spans="1:13" x14ac:dyDescent="0.35">
      <c r="K6" t="s">
        <v>59</v>
      </c>
      <c r="M6" s="8">
        <f>AVERAGE(M3:M5)</f>
        <v>1.1120166253105026</v>
      </c>
    </row>
    <row r="7" spans="1:13" x14ac:dyDescent="0.35">
      <c r="A7" s="10" t="s">
        <v>60</v>
      </c>
    </row>
    <row r="8" spans="1:13" x14ac:dyDescent="0.35">
      <c r="A8" t="s">
        <v>61</v>
      </c>
      <c r="B8">
        <v>3.75</v>
      </c>
      <c r="C8" t="s">
        <v>68</v>
      </c>
    </row>
    <row r="9" spans="1:13" x14ac:dyDescent="0.35">
      <c r="A9" t="s">
        <v>62</v>
      </c>
      <c r="B9">
        <v>5</v>
      </c>
    </row>
    <row r="10" spans="1:13" x14ac:dyDescent="0.35">
      <c r="A10" t="s">
        <v>63</v>
      </c>
      <c r="B10">
        <f>B8+(G5*B9)</f>
        <v>5.4194872441981268</v>
      </c>
    </row>
    <row r="11" spans="1:13" x14ac:dyDescent="0.35">
      <c r="A11" t="s">
        <v>64</v>
      </c>
      <c r="B11">
        <f>B8+(C5*B9)</f>
        <v>8.8554725220560595</v>
      </c>
    </row>
    <row r="12" spans="1:13" x14ac:dyDescent="0.35">
      <c r="A12" t="s">
        <v>65</v>
      </c>
      <c r="B12">
        <f>B8+(J5*B9)</f>
        <v>10.302478580237533</v>
      </c>
    </row>
    <row r="13" spans="1:13" x14ac:dyDescent="0.35">
      <c r="A13" t="s">
        <v>66</v>
      </c>
      <c r="B13">
        <f>B8+(M6*B9)</f>
        <v>9.310083126552513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7CCA23-CBDD-4B7A-978C-FBD563740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 MONTHLY RETURN</vt:lpstr>
      <vt:lpstr>EXCESS RETURN</vt:lpstr>
      <vt:lpstr>STATISTIC</vt:lpstr>
      <vt:lpstr>PLOTS</vt:lpstr>
      <vt:lpstr>CAPM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Nlebemchukwu, Kelvin Kelechi</dc:creator>
  <cp:lastModifiedBy>kelechi Nlebemchukwu</cp:lastModifiedBy>
  <dcterms:created xsi:type="dcterms:W3CDTF">2026-02-06T03:27:25Z</dcterms:created>
  <dcterms:modified xsi:type="dcterms:W3CDTF">2026-03-01T02:31:45Z</dcterms:modified>
</cp:coreProperties>
</file>